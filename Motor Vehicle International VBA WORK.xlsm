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slicers/slicer2.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C:\Users\CHIEMELA\Downloads\"/>
    </mc:Choice>
  </mc:AlternateContent>
  <xr:revisionPtr revIDLastSave="0" documentId="13_ncr:1_{BCFE9C0A-5DCE-4749-B689-91F252E70B0E}" xr6:coauthVersionLast="47" xr6:coauthVersionMax="47" xr10:uidLastSave="{00000000-0000-0000-0000-000000000000}"/>
  <bookViews>
    <workbookView xWindow="-120" yWindow="-120" windowWidth="20730" windowHeight="11040" firstSheet="3" activeTab="8" xr2:uid="{00000000-000D-0000-FFFF-FFFF00000000}"/>
  </bookViews>
  <sheets>
    <sheet name="Deaths" sheetId="1" r:id="rId1"/>
    <sheet name="Sheet1" sheetId="3" r:id="rId2"/>
    <sheet name="PIVOT FOR DEATHS" sheetId="7" r:id="rId3"/>
    <sheet name="DASHBOARD" sheetId="8" r:id="rId4"/>
    <sheet name="Raw data" sheetId="6" r:id="rId5"/>
    <sheet name="Rates" sheetId="2" r:id="rId6"/>
    <sheet name="Sheet5" sheetId="12" r:id="rId7"/>
    <sheet name="DASHBOARD FOR RATES" sheetId="13" r:id="rId8"/>
    <sheet name="HOME PAGE" sheetId="14" r:id="rId9"/>
    <sheet name="Raw data 2" sheetId="9" r:id="rId10"/>
  </sheets>
  <definedNames>
    <definedName name="_xlcn.WorksheetConnection_Rawdata2A1I291" hidden="1">'Raw data 2'!$A$1:$I$29</definedName>
    <definedName name="_xlcn.WorksheetConnection_RawdataA1I301" hidden="1">'Raw data'!$A$1:$I$30</definedName>
    <definedName name="Slicer_Country">#N/A</definedName>
    <definedName name="Slicer_Country1">#N/A</definedName>
  </definedNames>
  <calcPr calcId="181029"/>
  <pivotCaches>
    <pivotCache cacheId="7" r:id="rId11"/>
    <pivotCache cacheId="8" r:id="rId12"/>
    <pivotCache cacheId="9" r:id="rId13"/>
    <pivotCache cacheId="10" r:id="rId14"/>
    <pivotCache cacheId="11" r:id="rId15"/>
    <pivotCache cacheId="12" r:id="rId16"/>
    <pivotCache cacheId="13" r:id="rId17"/>
    <pivotCache cacheId="14" r:id="rId18"/>
    <pivotCache cacheId="15" r:id="rId19"/>
    <pivotCache cacheId="16" r:id="rId20"/>
    <pivotCache cacheId="17" r:id="rId21"/>
  </pivotCaches>
  <extLst>
    <ext xmlns:x14="http://schemas.microsoft.com/office/spreadsheetml/2009/9/main" uri="{876F7934-8845-4945-9796-88D515C7AA90}">
      <x14:pivotCaches>
        <pivotCache cacheId="18" r:id="rId22"/>
        <pivotCache cacheId="19" r:id="rId23"/>
      </x14:pivotCaches>
    </ex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1" name="Range 1" connection="WorksheetConnection_Raw data!$A$1:$I$30"/>
          <x15:modelTable id="Range" name="Range" connection="WorksheetConnection_Raw data 2!$A$1:$I$29"/>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CED591-8238-4C5E-B4CB-E3994C8E004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E920D35-AB0C-4362-9ED0-ECCE4052B870}" name="WorksheetConnection_Raw data 2!$A$1:$I$29" type="102" refreshedVersion="8" minRefreshableVersion="5">
    <extLst>
      <ext xmlns:x15="http://schemas.microsoft.com/office/spreadsheetml/2010/11/main" uri="{DE250136-89BD-433C-8126-D09CA5730AF9}">
        <x15:connection id="Range" autoDelete="1">
          <x15:rangePr sourceName="_xlcn.WorksheetConnection_Rawdata2A1I291"/>
        </x15:connection>
      </ext>
    </extLst>
  </connection>
  <connection id="3" xr16:uid="{6E4AC495-48C1-44DC-A5CF-3D2D5CD310A5}" name="WorksheetConnection_Raw data!$A$1:$I$30" type="102" refreshedVersion="8" minRefreshableVersion="5">
    <extLst>
      <ext xmlns:x15="http://schemas.microsoft.com/office/spreadsheetml/2010/11/main" uri="{DE250136-89BD-433C-8126-D09CA5730AF9}">
        <x15:connection id="Range 1" autoDelete="1">
          <x15:rangePr sourceName="_xlcn.WorksheetConnection_RawdataA1I301"/>
        </x15:connection>
      </ext>
    </extLst>
  </connection>
</connections>
</file>

<file path=xl/sharedStrings.xml><?xml version="1.0" encoding="utf-8"?>
<sst xmlns="http://schemas.openxmlformats.org/spreadsheetml/2006/main" count="795" uniqueCount="189">
  <si>
    <t>Motor vehicle crash deaths and deaths per 100,000 population — 29 high-income countries, 2015 and 2019*</t>
  </si>
  <si>
    <t>Country†</t>
  </si>
  <si>
    <t>No. of MVC deaths</t>
  </si>
  <si>
    <t>Population, 2015§</t>
  </si>
  <si>
    <t>Population, 2019§,¶</t>
  </si>
  <si>
    <t>MVC deaths per 100,000 population**</t>
  </si>
  <si>
    <t>2019§,¶</t>
  </si>
  <si>
    <t>% Change,** 2015 to 2019</t>
  </si>
  <si>
    <t>% Change, 2015 to 2019</t>
  </si>
  <si>
    <t>United States</t>
  </si>
  <si>
    <t>Chile††</t>
  </si>
  <si>
    <t>NA</t>
  </si>
  <si>
    <t>Poland</t>
  </si>
  <si>
    <t>−1.0</t>
  </si>
  <si>
    <t>−0.9</t>
  </si>
  <si>
    <t>New Zealand</t>
  </si>
  <si>
    <t>Lithuania</t>
  </si>
  <si>
    <t>−22.2</t>
  </si>
  <si>
    <t>−18.6</t>
  </si>
  <si>
    <t>South Korea</t>
  </si>
  <si>
    <t>−27.5</t>
  </si>
  <si>
    <t>−28.5</t>
  </si>
  <si>
    <t>Greece</t>
  </si>
  <si>
    <t>−13.2</t>
  </si>
  <si>
    <t>−12.2</t>
  </si>
  <si>
    <t>Hungary</t>
  </si>
  <si>
    <t>−7.1</t>
  </si>
  <si>
    <t>−6.3</t>
  </si>
  <si>
    <t>Portugal</t>
  </si>
  <si>
    <t>Czechia</t>
  </si>
  <si>
    <t>−16.1</t>
  </si>
  <si>
    <t>−16.9</t>
  </si>
  <si>
    <t>Belgium</t>
  </si>
  <si>
    <t>−15.5</t>
  </si>
  <si>
    <t>−17.1</t>
  </si>
  <si>
    <t>Italy</t>
  </si>
  <si>
    <t>−7.4</t>
  </si>
  <si>
    <t>−6.8</t>
  </si>
  <si>
    <t>France</t>
  </si>
  <si>
    <t>−7.0</t>
  </si>
  <si>
    <t>Slovenia</t>
  </si>
  <si>
    <t>−15.0</t>
  </si>
  <si>
    <t>−15.7</t>
  </si>
  <si>
    <t>Austria</t>
  </si>
  <si>
    <t>−15.8</t>
  </si>
  <si>
    <t>Canada</t>
  </si>
  <si>
    <t>−6.6</t>
  </si>
  <si>
    <t>−11.0</t>
  </si>
  <si>
    <t>Australia</t>
  </si>
  <si>
    <t>−1.5</t>
  </si>
  <si>
    <t>−7.5</t>
  </si>
  <si>
    <t>Israel</t>
  </si>
  <si>
    <t>−0.3</t>
  </si>
  <si>
    <t>Netherlands</t>
  </si>
  <si>
    <t>Finland</t>
  </si>
  <si>
    <t>−21.9</t>
  </si>
  <si>
    <t>−22.5</t>
  </si>
  <si>
    <t>Spain</t>
  </si>
  <si>
    <t>Germany</t>
  </si>
  <si>
    <t>−11.9</t>
  </si>
  <si>
    <t>−13.9</t>
  </si>
  <si>
    <t>Denmark</t>
  </si>
  <si>
    <t>Japan</t>
  </si>
  <si>
    <t>−19.8</t>
  </si>
  <si>
    <t>−19.2</t>
  </si>
  <si>
    <t>Ireland</t>
  </si>
  <si>
    <t>−13.6</t>
  </si>
  <si>
    <t>−17.6</t>
  </si>
  <si>
    <t>United Kingdom</t>
  </si>
  <si>
    <t>−2.3</t>
  </si>
  <si>
    <t>Switzerland</t>
  </si>
  <si>
    <t>−26.1</t>
  </si>
  <si>
    <t>−28.7</t>
  </si>
  <si>
    <t>Sweden</t>
  </si>
  <si>
    <t>−14.7</t>
  </si>
  <si>
    <t>−18.7</t>
  </si>
  <si>
    <t>Norway</t>
  </si>
  <si>
    <t>−7.7</t>
  </si>
  <si>
    <t>−10.5</t>
  </si>
  <si>
    <t>Overall summary statistics</t>
  </si>
  <si>
    <t>Overall mean (with United States)</t>
  </si>
  <si>
    <t>−8.1</t>
  </si>
  <si>
    <t>−10.0</t>
  </si>
  <si>
    <t>Overall median (with United States)</t>
  </si>
  <si>
    <t>−7.6</t>
  </si>
  <si>
    <t>−10.8</t>
  </si>
  <si>
    <t>Minimum value (with United States)</t>
  </si>
  <si>
    <t>Maximum value (with United States)</t>
  </si>
  <si>
    <t>Overall mean (without United States)</t>
  </si>
  <si>
    <t>−8.5</t>
  </si>
  <si>
    <t>−10.4</t>
  </si>
  <si>
    <t>Overall median (without United States)</t>
  </si>
  <si>
    <t>Abbreviations: MVC = motor vehicle crash; NA = not applicable.
 * All data come from the International Transport Forum’s International Road Traffic and Accident Database, with two exceptions. The number of MVC deaths for the United States in 2019 comes from the Fatality Analysis Reporting System’s Final File, released in March 2022. The numbers of crash deaths in 2015 and 2019 for the Netherlands are reported by the Institute for Road Safety Research (SWOV) and are determined by comparing and combining three data sources. https://swov.nl/ en/fact-sheet/road-deaths-netherlands
 † Countries are listed in descending order by 2019 MVC deaths per 100,000 population.
 § The following numbers were considered estimates: MVC deaths for Canada in 2019 and the population for Chile and New Zealand in 2015 and 2019.
 ¶ The following numbers were considered provisional: MVC deaths for Portugal and Australia in 2019 and the population for Australia in 2019.
 ** Percent changes and MVC deaths per 100,000 population were calculated based on numbers that were not rounded. However, after being calculated, they were rounded to the nearest 10th of a decimal point.</t>
  </si>
  <si>
    <t>†† Chile changed its definition for MVC deaths starting in 2019, which creates a trend break. Data for MVC deaths in Chile in 2019 cannot be compared with previous years. Therefore, 2015 MVC deaths and any calculations that would be based on 2015 MVC deaths are not reported for Chile.</t>
  </si>
  <si>
    <t>TABLE 2. Motor vehicle crash deaths per 100 million vehicle miles traveled and per 10,000 registered vehicles — selected high-income countries,* 2015 and 2019†</t>
  </si>
  <si>
    <t>Country§</t>
  </si>
  <si>
    <t>No. of MVC
 deaths, 2015</t>
  </si>
  <si>
    <t>No. of MVC
 deaths, 2019¶,**</t>
  </si>
  <si>
    <t>Vehicle miles traveled
 (in billions), 2015¶,††</t>
  </si>
  <si>
    <t>Vehicle miles traveled
 (in billions), 2019¶,**,††</t>
  </si>
  <si>
    <t>MVC deaths§§ per 100 million vehicle miles traveled</t>
  </si>
  <si>
    <t>No. of registered vehicles, 2015¶¶</t>
  </si>
  <si>
    <t>No. of registered vehicles, 2019¶¶</t>
  </si>
  <si>
    <t>MVC deaths§§ per 10,000 registered vehicles</t>
  </si>
  <si>
    <t>% Change,†† 2015 to 2019</t>
  </si>
  <si>
    <t>−2.9</t>
  </si>
  <si>
    <t>−3.7</t>
  </si>
  <si>
    <t>Chile***</t>
  </si>
  <si>
    <t>−15.2</t>
  </si>
  <si>
    <t>−2.0</t>
  </si>
  <si>
    <t>−11.6</t>
  </si>
  <si>
    <t>−29.9</t>
  </si>
  <si>
    <t>−34.4</t>
  </si>
  <si>
    <t>−36.0</t>
  </si>
  <si>
    <t>−15.9</t>
  </si>
  <si>
    <t>−25.5</t>
  </si>
  <si>
    <t>−28.6</t>
  </si>
  <si>
    <t>−20.4</t>
  </si>
  <si>
    <t>−12.7</t>
  </si>
  <si>
    <t>−8.0</t>
  </si>
  <si>
    <t>−9.8</t>
  </si>
  <si>
    <t>Slovenia†††</t>
  </si>
  <si>
    <t>−23.0</t>
  </si>
  <si>
    <t>−21.3</t>
  </si>
  <si>
    <t>−14.5</t>
  </si>
  <si>
    <t>−12.1</t>
  </si>
  <si>
    <t>−9.1</t>
  </si>
  <si>
    <t>−13.5</t>
  </si>
  <si>
    <t>−14.4</t>
  </si>
  <si>
    <t>−0.7</t>
  </si>
  <si>
    <t>Finland†††</t>
  </si>
  <si>
    <t>−29.0</t>
  </si>
  <si>
    <t>−4.5</t>
  </si>
  <si>
    <t>Germany†††</t>
  </si>
  <si>
    <t>−17.5</t>
  </si>
  <si>
    <t>3,29,00</t>
  </si>
  <si>
    <t>−21.2</t>
  </si>
  <si>
    <t>−19.9</t>
  </si>
  <si>
    <t>−15.4</t>
  </si>
  <si>
    <t>−20.8</t>
  </si>
  <si>
    <t>−5.6</t>
  </si>
  <si>
    <t>−30.3</t>
  </si>
  <si>
    <t>−17.7</t>
  </si>
  <si>
    <t>6,21,00</t>
  </si>
  <si>
    <t>−19.3</t>
  </si>
  <si>
    <t>−13.1</t>
  </si>
  <si>
    <t>Overall mean
 (with United States)</t>
  </si>
  <si>
    <t>−16.3</t>
  </si>
  <si>
    <t>Overall median
 (with United States)</t>
  </si>
  <si>
    <t>Overall mean
 (without United States)</t>
  </si>
  <si>
    <t>−14.2</t>
  </si>
  <si>
    <t>−16.8</t>
  </si>
  <si>
    <t>Overall median
 (without United States)</t>
  </si>
  <si>
    <t>−14.0</t>
  </si>
  <si>
    <t>−16.7</t>
  </si>
  <si>
    <t>Abbreviations: MVC = motor vehicle crash; NA = not applicable.
 * Portugal is not included because there were no data available for Portugal’s vehicle miles traveled or for registered vehicles.
 † All data come from the International Transport Forum’s International Road Traffic and Accident Database, with two exceptions. The number of MVC deaths for the United States in 2019 comes from the Fatality Analysis Reporting System’s Final File, released in March 2022. The numbers of crash deaths in 2015 and 2019 for the Netherlands are reported by the Institute for Road Safety Research (SWOV) and are determined by comparing and combining three data sources. https://swov.nl/en/fact-sheet/road-deaths-netherlands
 § Countries are listed in descending order by 2019 MVC deaths per 100,000 population.
 ¶ The following numbers were considered estimates: MVC deaths for Canada in 2019, vehicle miles traveled for Canada and Australia in 2015 and 2019, and vehicle miles traveled for Denmark, Ireland, and Switzerland in 2015.
 ** The following numbers were considered provisional: MVC deaths for Australia in 2019 and vehicle miles traveled for the Netherlands and Germany in 2019.
 †† Vehicle miles traveled (in billions) and percent changes were calculated based on numbers that were not rounded. However, after being calculated, they were rounded to the nearest 10th of a decimal point.
 §§ MVC deaths per 100 million vehicle miles traveled and per 10,000 registered vehicles were calculated based on numbers that were not rounded. However, after being calculated, they were rounded to the nearest 100th of a decimal point.
 ¶¶ Hungary, Belgium, Germany, and Denmark report the number of registered vehicles excluding mopeds; all other countries report the number of registered vehicles including mopeds.
 *** Chile changed its definition for MVC deaths starting in 2019, which creates a trend break. Data for MVC deaths in Chile in 2019 cannot be compared with previous years. Therefore, 2015 MVC deaths and any calculations that would be based on 2015 MVC deaths are not reported for Chile.</t>
  </si>
  <si>
    <t>††† Finland changed its methodology for determining vehicle kilometers traveled (which were converted to vehicle miles traveled) starting in 2016, and Germany and Slovenia changed their methodology starting in 2017. This creates a trend break. Data for vehicle miles traveled in Finland, Germany, and Slovenia in 2019 cannot be compared with previous years. Therefore, 2015 vehicle miles traveled and any calculations based on 2015 vehicle miles traveled are not reported for Finland, Germany, or Slovenia.</t>
  </si>
  <si>
    <t>MVC Deaths 2015</t>
  </si>
  <si>
    <t>Population, 2015</t>
  </si>
  <si>
    <t>Population, 2019</t>
  </si>
  <si>
    <t>MVC Deaths 2019</t>
  </si>
  <si>
    <t>MVC Death per 100k POP. 2015</t>
  </si>
  <si>
    <t>MVC Death per 100k POP. 2019</t>
  </si>
  <si>
    <t>Country</t>
  </si>
  <si>
    <t>Row Labels</t>
  </si>
  <si>
    <t>Grand Total</t>
  </si>
  <si>
    <t>Sum of MVC Deaths 2015</t>
  </si>
  <si>
    <t>Sum of MVC Deaths 2019</t>
  </si>
  <si>
    <t>Sum of Population, 2015</t>
  </si>
  <si>
    <t>Sum of Population, 2019</t>
  </si>
  <si>
    <t>Count of MVC Death per 100k POP. 2015</t>
  </si>
  <si>
    <t>Sum of MVC Death per 100k POP. 2019</t>
  </si>
  <si>
    <t>Vehicle miles traveled
 (in billions), 2019</t>
  </si>
  <si>
    <t>Vehicle miles traveled (in billions), 2015</t>
  </si>
  <si>
    <t>MVC deaths  per 100 million vehicle miles traveled2019</t>
  </si>
  <si>
    <t>MVC deaths  per 100 million vehicle mile traveled 2015</t>
  </si>
  <si>
    <t>No. of registered vehicles, 2015</t>
  </si>
  <si>
    <t>No. of registered vehicles, 2019</t>
  </si>
  <si>
    <t>MVC deaths per 10,000 registered vehicles 2019</t>
  </si>
  <si>
    <t>MVC deaths per 10,000 registered vehicles 2015</t>
  </si>
  <si>
    <t>Count of No. of registered vehicles, 2015</t>
  </si>
  <si>
    <t>Sum of MVC deaths per 10,000 registered vehicles 2019</t>
  </si>
  <si>
    <t>Sum of MVC deaths per 10,000 registered vehicles 2015</t>
  </si>
  <si>
    <t>Sum of No. of registered vehicles, 2019</t>
  </si>
  <si>
    <t>Sum of MVC deaths  per 100 million vehicle miles traveled2019</t>
  </si>
  <si>
    <t>Sum of MVC deaths  per 100 million vehicle mile traveled 2015</t>
  </si>
  <si>
    <t>Sum of Vehicle miles traveled (in billions), 2015</t>
  </si>
  <si>
    <t>Sum of Vehicle miles traveled  (in billions), 2019</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</si>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</sst>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0"/>
      <color rgb="FF000000"/>
      <name val="Arial"/>
      <scheme val="minor"/>
    </font>
    <font>
      <b/>
      <sz val="9"/>
      <color rgb="FF010203"/>
      <name val="Calibri"/>
      <family val="2"/>
    </font>
    <font>
      <sz val="10"/>
      <color rgb="FF000000"/>
      <name val="&quot;Times New Roman&quot;"/>
    </font>
    <font>
      <b/>
      <sz val="8"/>
      <color rgb="FF231F20"/>
      <name val="Calibri"/>
      <family val="2"/>
    </font>
    <font>
      <sz val="10"/>
      <color theme="1"/>
      <name val="Arial"/>
      <family val="2"/>
      <scheme val="minor"/>
    </font>
    <font>
      <sz val="8"/>
      <color rgb="FF010203"/>
      <name val="Arial"/>
      <family val="2"/>
    </font>
    <font>
      <b/>
      <sz val="8"/>
      <color rgb="FF010203"/>
      <name val="Calibri"/>
      <family val="2"/>
    </font>
    <font>
      <b/>
      <u/>
      <sz val="8"/>
      <color rgb="FF010203"/>
      <name val="Calibri"/>
      <family val="2"/>
    </font>
    <font>
      <sz val="7"/>
      <color rgb="FF010203"/>
      <name val="Arial"/>
      <family val="2"/>
    </font>
    <font>
      <b/>
      <sz val="7"/>
      <color rgb="FF010203"/>
      <name val="Calibri"/>
      <family val="2"/>
    </font>
    <font>
      <b/>
      <u/>
      <sz val="7"/>
      <color rgb="FF010203"/>
      <name val="Calibri"/>
      <family val="2"/>
    </font>
    <font>
      <sz val="6"/>
      <color rgb="FF010203"/>
      <name val="Arial"/>
      <family val="2"/>
    </font>
    <font>
      <sz val="10"/>
      <color rgb="FF000000"/>
      <name val="Arial"/>
      <family val="2"/>
      <scheme val="minor"/>
    </font>
    <font>
      <b/>
      <sz val="10"/>
      <color rgb="FF231F20"/>
      <name val="Calibri"/>
      <family val="2"/>
    </font>
    <font>
      <sz val="10"/>
      <color rgb="FF000000"/>
      <name val="Arial"/>
      <family val="2"/>
      <scheme val="minor"/>
    </font>
    <font>
      <sz val="10"/>
      <color rgb="FF010203"/>
      <name val="Arial"/>
      <family val="2"/>
    </font>
    <font>
      <b/>
      <sz val="10"/>
      <color rgb="FF000000"/>
      <name val="Arial"/>
      <family val="2"/>
      <scheme val="minor"/>
    </font>
    <font>
      <sz val="12"/>
      <color rgb="FF000000"/>
      <name val="Arial"/>
      <family val="2"/>
      <scheme val="minor"/>
    </font>
    <font>
      <sz val="12"/>
      <color rgb="FF010203"/>
      <name val="Arial"/>
      <family val="2"/>
      <scheme val="minor"/>
    </font>
    <font>
      <sz val="10"/>
      <color rgb="FF010203"/>
      <name val="Calibri"/>
      <family val="2"/>
    </font>
    <font>
      <sz val="8"/>
      <name val="Arial"/>
      <family val="2"/>
      <scheme val="minor"/>
    </font>
    <font>
      <sz val="10"/>
      <color rgb="FF000000"/>
      <name val="Calibri"/>
      <family val="2"/>
    </font>
    <font>
      <sz val="9"/>
      <color rgb="FF000000"/>
      <name val="Calibri"/>
      <family val="2"/>
    </font>
    <font>
      <sz val="9"/>
      <color rgb="FF000000"/>
      <name val="Arial"/>
      <family val="2"/>
      <scheme val="minor"/>
    </font>
  </fonts>
  <fills count="2">
    <fill>
      <patternFill patternType="none"/>
    </fill>
    <fill>
      <patternFill patternType="gray125"/>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9" fontId="12" fillId="0" borderId="0" applyFont="0" applyFill="0" applyBorder="0" applyAlignment="0" applyProtection="0"/>
  </cellStyleXfs>
  <cellXfs count="70">
    <xf numFmtId="0" fontId="0" fillId="0" borderId="0" xfId="0"/>
    <xf numFmtId="0" fontId="2" fillId="0" borderId="0" xfId="0" applyFont="1" applyAlignment="1">
      <alignment horizontal="center" vertical="top"/>
    </xf>
    <xf numFmtId="0" fontId="4" fillId="0" borderId="0" xfId="0" applyFont="1" applyAlignment="1">
      <alignment horizontal="center"/>
    </xf>
    <xf numFmtId="0" fontId="9" fillId="0" borderId="0" xfId="0" applyFont="1" applyAlignment="1">
      <alignment horizontal="center"/>
    </xf>
    <xf numFmtId="3" fontId="8" fillId="0" borderId="0" xfId="0" applyNumberFormat="1" applyFont="1" applyAlignment="1">
      <alignment horizontal="center" vertical="top"/>
    </xf>
    <xf numFmtId="0" fontId="8" fillId="0" borderId="0" xfId="0" applyFont="1" applyAlignment="1">
      <alignment horizontal="center" vertical="top"/>
    </xf>
    <xf numFmtId="0" fontId="13" fillId="0" borderId="0" xfId="0" applyFont="1"/>
    <xf numFmtId="0" fontId="15" fillId="0" borderId="0" xfId="0" applyFont="1" applyAlignment="1">
      <alignment vertical="top"/>
    </xf>
    <xf numFmtId="3" fontId="15" fillId="0" borderId="0" xfId="0" applyNumberFormat="1" applyFont="1" applyAlignment="1">
      <alignment vertical="top"/>
    </xf>
    <xf numFmtId="0" fontId="15" fillId="0" borderId="0" xfId="0" applyFont="1" applyAlignment="1">
      <alignment horizontal="right"/>
    </xf>
    <xf numFmtId="0" fontId="13" fillId="0" borderId="0" xfId="0" applyFont="1" applyAlignment="1">
      <alignment horizontal="right" vertical="top"/>
    </xf>
    <xf numFmtId="0" fontId="15" fillId="0" borderId="0" xfId="0" applyFont="1" applyAlignment="1">
      <alignment horizontal="right" vertical="top"/>
    </xf>
    <xf numFmtId="0" fontId="13" fillId="0" borderId="0" xfId="0" applyFont="1" applyAlignment="1">
      <alignment horizontal="right"/>
    </xf>
    <xf numFmtId="3" fontId="15" fillId="0" borderId="0" xfId="0" applyNumberFormat="1" applyFont="1"/>
    <xf numFmtId="3" fontId="0" fillId="0" borderId="0" xfId="0" applyNumberFormat="1"/>
    <xf numFmtId="0" fontId="0" fillId="0" borderId="0" xfId="0" applyAlignment="1">
      <alignment horizontal="right"/>
    </xf>
    <xf numFmtId="0" fontId="0" fillId="0" borderId="0" xfId="0" applyAlignment="1">
      <alignment horizontal="left"/>
    </xf>
    <xf numFmtId="0" fontId="14" fillId="0" borderId="0" xfId="0" applyFont="1" applyAlignment="1">
      <alignment horizontal="righ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9" fontId="14" fillId="0" borderId="0" xfId="1" applyFont="1" applyAlignment="1">
      <alignment horizontal="right"/>
    </xf>
    <xf numFmtId="0" fontId="16" fillId="0" borderId="0" xfId="0" applyFont="1"/>
    <xf numFmtId="0" fontId="17" fillId="0" borderId="0" xfId="0" applyFont="1"/>
    <xf numFmtId="3" fontId="18" fillId="0" borderId="0" xfId="0" applyNumberFormat="1" applyFont="1" applyAlignment="1">
      <alignment vertical="top"/>
    </xf>
    <xf numFmtId="3" fontId="18" fillId="0" borderId="0" xfId="0" applyNumberFormat="1" applyFont="1"/>
    <xf numFmtId="0" fontId="18" fillId="0" borderId="0" xfId="0" applyFont="1" applyAlignment="1">
      <alignment horizontal="right" vertical="top"/>
    </xf>
    <xf numFmtId="0" fontId="18" fillId="0" borderId="0" xfId="0" applyFont="1" applyAlignment="1">
      <alignment horizontal="right"/>
    </xf>
    <xf numFmtId="0" fontId="18" fillId="0" borderId="0" xfId="0" applyFont="1" applyAlignment="1">
      <alignment vertical="top"/>
    </xf>
    <xf numFmtId="0" fontId="19" fillId="0" borderId="0" xfId="0" applyFont="1"/>
    <xf numFmtId="4" fontId="15" fillId="0" borderId="0" xfId="0" applyNumberFormat="1" applyFont="1" applyAlignment="1">
      <alignment horizontal="right" vertical="top"/>
    </xf>
    <xf numFmtId="3" fontId="15" fillId="0" borderId="0" xfId="0" applyNumberFormat="1" applyFont="1" applyAlignment="1">
      <alignment horizontal="right" vertical="top"/>
    </xf>
    <xf numFmtId="0" fontId="19" fillId="0" borderId="0" xfId="0" applyFont="1" applyAlignment="1">
      <alignment horizontal="right" wrapText="1"/>
    </xf>
    <xf numFmtId="0" fontId="19" fillId="0" borderId="0" xfId="0" applyFont="1" applyAlignment="1">
      <alignment wrapText="1"/>
    </xf>
    <xf numFmtId="0" fontId="19" fillId="0" borderId="0" xfId="0" applyFont="1" applyAlignment="1">
      <alignment horizontal="left" wrapText="1"/>
    </xf>
    <xf numFmtId="0" fontId="15" fillId="0" borderId="0" xfId="0" applyFont="1" applyAlignment="1">
      <alignment horizontal="right" wrapText="1"/>
    </xf>
    <xf numFmtId="0" fontId="21" fillId="0" borderId="0" xfId="0" applyFont="1" applyAlignment="1">
      <alignment wrapText="1"/>
    </xf>
    <xf numFmtId="0" fontId="22" fillId="0" borderId="0" xfId="0" applyFont="1" applyAlignment="1">
      <alignment wrapText="1"/>
    </xf>
    <xf numFmtId="0" fontId="23" fillId="0" borderId="0" xfId="0" applyFont="1"/>
    <xf numFmtId="4" fontId="23" fillId="0" borderId="0" xfId="0" applyNumberFormat="1" applyFont="1" applyAlignment="1">
      <alignment horizontal="right"/>
    </xf>
    <xf numFmtId="0" fontId="23" fillId="0" borderId="0" xfId="0" applyFont="1" applyAlignment="1">
      <alignment horizontal="right" wrapText="1"/>
    </xf>
    <xf numFmtId="0" fontId="23" fillId="0" borderId="0" xfId="0" applyFont="1" applyAlignment="1">
      <alignment horizontal="right"/>
    </xf>
    <xf numFmtId="0" fontId="5" fillId="0" borderId="0" xfId="0" applyFont="1" applyAlignment="1">
      <alignment horizontal="center" vertical="top"/>
    </xf>
    <xf numFmtId="0" fontId="0" fillId="0" borderId="0" xfId="0"/>
    <xf numFmtId="0" fontId="5" fillId="0" borderId="0" xfId="0" applyFont="1" applyAlignment="1">
      <alignment horizontal="left" vertical="top"/>
    </xf>
    <xf numFmtId="3" fontId="5" fillId="0" borderId="0" xfId="0" applyNumberFormat="1" applyFont="1" applyAlignment="1">
      <alignment horizontal="center" vertical="top"/>
    </xf>
    <xf numFmtId="0" fontId="3" fillId="0" borderId="0" xfId="0" applyFont="1" applyAlignment="1">
      <alignment horizontal="center"/>
    </xf>
    <xf numFmtId="0" fontId="3" fillId="0" borderId="0" xfId="0" applyFont="1" applyAlignment="1">
      <alignment horizontal="center" vertical="top"/>
    </xf>
    <xf numFmtId="0" fontId="1" fillId="0" borderId="0" xfId="0" applyFont="1" applyAlignment="1">
      <alignment horizontal="left" vertical="top"/>
    </xf>
    <xf numFmtId="0" fontId="3" fillId="0" borderId="0" xfId="0" applyFont="1" applyAlignment="1">
      <alignment horizontal="left"/>
    </xf>
    <xf numFmtId="0" fontId="4" fillId="0" borderId="0" xfId="0" applyFont="1" applyAlignment="1">
      <alignment horizontal="center"/>
    </xf>
    <xf numFmtId="0" fontId="6" fillId="0" borderId="0" xfId="0" applyFont="1" applyAlignment="1">
      <alignment horizontal="left" vertical="top"/>
    </xf>
    <xf numFmtId="0" fontId="7" fillId="0" borderId="0" xfId="0" applyFont="1" applyAlignment="1">
      <alignment horizontal="left" vertical="top" wrapText="1"/>
    </xf>
    <xf numFmtId="0" fontId="8" fillId="0" borderId="0" xfId="0" applyFont="1" applyAlignment="1">
      <alignment horizontal="left" vertical="top"/>
    </xf>
    <xf numFmtId="0" fontId="8" fillId="0" borderId="0" xfId="0" applyFont="1" applyAlignment="1">
      <alignment horizontal="center" vertical="top"/>
    </xf>
    <xf numFmtId="3" fontId="8" fillId="0" borderId="0" xfId="0" applyNumberFormat="1" applyFont="1" applyAlignment="1">
      <alignment horizontal="center" vertical="top"/>
    </xf>
    <xf numFmtId="0" fontId="9" fillId="0" borderId="0" xfId="0" applyFont="1" applyAlignment="1">
      <alignment horizontal="center" vertical="top"/>
    </xf>
    <xf numFmtId="0" fontId="9" fillId="0" borderId="0" xfId="0" applyFont="1" applyAlignment="1">
      <alignment horizontal="center"/>
    </xf>
    <xf numFmtId="0" fontId="9" fillId="0" borderId="0" xfId="0" applyFont="1" applyAlignment="1">
      <alignment horizontal="left"/>
    </xf>
    <xf numFmtId="4" fontId="8" fillId="0" borderId="0" xfId="0" applyNumberFormat="1" applyFont="1" applyAlignment="1">
      <alignment horizontal="center" vertical="top"/>
    </xf>
    <xf numFmtId="0" fontId="9" fillId="0" borderId="0" xfId="0" applyFont="1" applyAlignment="1">
      <alignment horizontal="left" vertical="top"/>
    </xf>
    <xf numFmtId="0" fontId="10" fillId="0" borderId="0" xfId="0" applyFont="1" applyAlignment="1">
      <alignment horizontal="left" vertical="top" wrapText="1"/>
    </xf>
    <xf numFmtId="0" fontId="11" fillId="0" borderId="0" xfId="0" applyFont="1" applyAlignment="1">
      <alignment horizontal="left" vertical="top"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connections" Target="connections.xml"/><Relationship Id="rId30"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DEATHS'!$B$1</c:f>
              <c:strCache>
                <c:ptCount val="1"/>
                <c:pt idx="0">
                  <c:v>Sum of MVC Deaths 2015</c:v>
                </c:pt>
              </c:strCache>
            </c:strRef>
          </c:tx>
          <c:spPr>
            <a:solidFill>
              <a:schemeClr val="accent1"/>
            </a:solidFill>
            <a:ln>
              <a:noFill/>
            </a:ln>
            <a:effectLst/>
          </c:spPr>
          <c:invertIfNegative val="0"/>
          <c:cat>
            <c:strRef>
              <c:f>'PIVOT FOR DEATHS'!$A$2:$A$31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DEATHS'!$B$2:$B$31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3FA7-4201-AA04-0C38230419D9}"/>
            </c:ext>
          </c:extLst>
        </c:ser>
        <c:ser>
          <c:idx val="1"/>
          <c:order val="1"/>
          <c:tx>
            <c:strRef>
              <c:f>'PIVOT FOR DEATHS'!$C$1</c:f>
              <c:strCache>
                <c:ptCount val="1"/>
                <c:pt idx="0">
                  <c:v>Sum of Population, 2015</c:v>
                </c:pt>
              </c:strCache>
            </c:strRef>
          </c:tx>
          <c:spPr>
            <a:solidFill>
              <a:schemeClr val="accent2"/>
            </a:solidFill>
            <a:ln>
              <a:noFill/>
            </a:ln>
            <a:effectLst/>
          </c:spPr>
          <c:invertIfNegative val="0"/>
          <c:cat>
            <c:strRef>
              <c:f>'PIVOT FOR DEATHS'!$A$2:$A$31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DEATHS'!$C$2:$C$31</c:f>
              <c:numCache>
                <c:formatCode>General</c:formatCode>
                <c:ptCount val="29"/>
                <c:pt idx="0">
                  <c:v>23815995</c:v>
                </c:pt>
                <c:pt idx="1">
                  <c:v>8584926</c:v>
                </c:pt>
                <c:pt idx="2">
                  <c:v>11237274</c:v>
                </c:pt>
                <c:pt idx="3">
                  <c:v>35826748</c:v>
                </c:pt>
                <c:pt idx="4">
                  <c:v>18006407</c:v>
                </c:pt>
                <c:pt idx="5">
                  <c:v>10538275</c:v>
                </c:pt>
                <c:pt idx="6">
                  <c:v>5659715</c:v>
                </c:pt>
                <c:pt idx="7">
                  <c:v>5471753</c:v>
                </c:pt>
                <c:pt idx="8">
                  <c:v>64300821</c:v>
                </c:pt>
                <c:pt idx="9">
                  <c:v>81197537</c:v>
                </c:pt>
                <c:pt idx="10">
                  <c:v>10858018</c:v>
                </c:pt>
                <c:pt idx="11">
                  <c:v>9855571</c:v>
                </c:pt>
                <c:pt idx="12">
                  <c:v>4677627</c:v>
                </c:pt>
                <c:pt idx="13">
                  <c:v>8463400</c:v>
                </c:pt>
                <c:pt idx="14">
                  <c:v>60795612</c:v>
                </c:pt>
                <c:pt idx="15">
                  <c:v>127095000</c:v>
                </c:pt>
                <c:pt idx="16">
                  <c:v>2921262</c:v>
                </c:pt>
                <c:pt idx="17">
                  <c:v>16900726</c:v>
                </c:pt>
                <c:pt idx="18">
                  <c:v>4596700</c:v>
                </c:pt>
                <c:pt idx="19">
                  <c:v>5165802</c:v>
                </c:pt>
                <c:pt idx="20">
                  <c:v>38005614</c:v>
                </c:pt>
                <c:pt idx="21">
                  <c:v>10374822</c:v>
                </c:pt>
                <c:pt idx="22">
                  <c:v>2062874</c:v>
                </c:pt>
                <c:pt idx="23">
                  <c:v>51014947</c:v>
                </c:pt>
                <c:pt idx="24">
                  <c:v>46449565</c:v>
                </c:pt>
                <c:pt idx="25">
                  <c:v>9747355</c:v>
                </c:pt>
                <c:pt idx="26">
                  <c:v>8237666</c:v>
                </c:pt>
                <c:pt idx="27">
                  <c:v>65110034</c:v>
                </c:pt>
                <c:pt idx="28">
                  <c:v>320635163</c:v>
                </c:pt>
              </c:numCache>
            </c:numRef>
          </c:val>
          <c:extLst>
            <c:ext xmlns:c16="http://schemas.microsoft.com/office/drawing/2014/chart" uri="{C3380CC4-5D6E-409C-BE32-E72D297353CC}">
              <c16:uniqueId val="{00000001-3FA7-4201-AA04-0C38230419D9}"/>
            </c:ext>
          </c:extLst>
        </c:ser>
        <c:dLbls>
          <c:showLegendKey val="0"/>
          <c:showVal val="0"/>
          <c:showCatName val="0"/>
          <c:showSerName val="0"/>
          <c:showPercent val="0"/>
          <c:showBubbleSize val="0"/>
        </c:dLbls>
        <c:gapWidth val="182"/>
        <c:axId val="599362543"/>
        <c:axId val="599363503"/>
      </c:barChart>
      <c:catAx>
        <c:axId val="599362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63503"/>
        <c:crosses val="autoZero"/>
        <c:auto val="1"/>
        <c:lblAlgn val="ctr"/>
        <c:lblOffset val="100"/>
        <c:noMultiLvlLbl val="0"/>
      </c:catAx>
      <c:valAx>
        <c:axId val="5993635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62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DEATHS'!$F$1</c:f>
              <c:strCache>
                <c:ptCount val="1"/>
                <c:pt idx="0">
                  <c:v>Sum of MVC Deaths 2019</c:v>
                </c:pt>
              </c:strCache>
            </c:strRef>
          </c:tx>
          <c:spPr>
            <a:solidFill>
              <a:schemeClr val="accent1"/>
            </a:solidFill>
            <a:ln>
              <a:noFill/>
            </a:ln>
            <a:effectLst/>
          </c:spPr>
          <c:invertIfNegative val="0"/>
          <c:cat>
            <c:strRef>
              <c:f>'PIVOT FOR DEATHS'!$E$2:$E$31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DEATHS'!$F$2:$F$31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0-5B2C-494D-8406-7A97D054EE2F}"/>
            </c:ext>
          </c:extLst>
        </c:ser>
        <c:ser>
          <c:idx val="1"/>
          <c:order val="1"/>
          <c:tx>
            <c:strRef>
              <c:f>'PIVOT FOR DEATHS'!$G$1</c:f>
              <c:strCache>
                <c:ptCount val="1"/>
                <c:pt idx="0">
                  <c:v>Sum of Population, 2019</c:v>
                </c:pt>
              </c:strCache>
            </c:strRef>
          </c:tx>
          <c:spPr>
            <a:solidFill>
              <a:schemeClr val="accent2"/>
            </a:solidFill>
            <a:ln>
              <a:noFill/>
            </a:ln>
            <a:effectLst/>
          </c:spPr>
          <c:invertIfNegative val="0"/>
          <c:cat>
            <c:strRef>
              <c:f>'PIVOT FOR DEATHS'!$E$2:$E$31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DEATHS'!$G$2:$G$31</c:f>
              <c:numCache>
                <c:formatCode>General</c:formatCode>
                <c:ptCount val="29"/>
                <c:pt idx="0">
                  <c:v>25365571</c:v>
                </c:pt>
                <c:pt idx="1">
                  <c:v>8858775</c:v>
                </c:pt>
                <c:pt idx="2">
                  <c:v>11455519</c:v>
                </c:pt>
                <c:pt idx="3">
                  <c:v>37593384</c:v>
                </c:pt>
                <c:pt idx="4">
                  <c:v>18726548</c:v>
                </c:pt>
                <c:pt idx="5">
                  <c:v>10649800</c:v>
                </c:pt>
                <c:pt idx="6">
                  <c:v>5806081</c:v>
                </c:pt>
                <c:pt idx="7">
                  <c:v>5517919</c:v>
                </c:pt>
                <c:pt idx="8">
                  <c:v>64812052</c:v>
                </c:pt>
                <c:pt idx="9">
                  <c:v>83019213</c:v>
                </c:pt>
                <c:pt idx="10">
                  <c:v>10724599</c:v>
                </c:pt>
                <c:pt idx="11">
                  <c:v>9772756</c:v>
                </c:pt>
                <c:pt idx="12">
                  <c:v>4904240</c:v>
                </c:pt>
                <c:pt idx="13">
                  <c:v>9054100</c:v>
                </c:pt>
                <c:pt idx="14">
                  <c:v>60359546</c:v>
                </c:pt>
                <c:pt idx="15">
                  <c:v>126167000</c:v>
                </c:pt>
                <c:pt idx="16">
                  <c:v>2794184</c:v>
                </c:pt>
                <c:pt idx="17">
                  <c:v>17282163</c:v>
                </c:pt>
                <c:pt idx="18">
                  <c:v>4979200</c:v>
                </c:pt>
                <c:pt idx="19">
                  <c:v>5328212</c:v>
                </c:pt>
                <c:pt idx="20">
                  <c:v>37972812</c:v>
                </c:pt>
                <c:pt idx="21">
                  <c:v>10276617</c:v>
                </c:pt>
                <c:pt idx="22">
                  <c:v>2080908</c:v>
                </c:pt>
                <c:pt idx="23">
                  <c:v>51709098</c:v>
                </c:pt>
                <c:pt idx="24">
                  <c:v>46937060</c:v>
                </c:pt>
                <c:pt idx="25">
                  <c:v>10230185</c:v>
                </c:pt>
                <c:pt idx="26">
                  <c:v>8544527</c:v>
                </c:pt>
                <c:pt idx="27">
                  <c:v>66796807</c:v>
                </c:pt>
                <c:pt idx="28">
                  <c:v>328239523</c:v>
                </c:pt>
              </c:numCache>
            </c:numRef>
          </c:val>
          <c:extLst>
            <c:ext xmlns:c16="http://schemas.microsoft.com/office/drawing/2014/chart" uri="{C3380CC4-5D6E-409C-BE32-E72D297353CC}">
              <c16:uniqueId val="{00000001-5B2C-494D-8406-7A97D054EE2F}"/>
            </c:ext>
          </c:extLst>
        </c:ser>
        <c:dLbls>
          <c:showLegendKey val="0"/>
          <c:showVal val="0"/>
          <c:showCatName val="0"/>
          <c:showSerName val="0"/>
          <c:showPercent val="0"/>
          <c:showBubbleSize val="0"/>
        </c:dLbls>
        <c:gapWidth val="182"/>
        <c:axId val="599354383"/>
        <c:axId val="599367823"/>
      </c:barChart>
      <c:catAx>
        <c:axId val="599354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67823"/>
        <c:crosses val="autoZero"/>
        <c:auto val="1"/>
        <c:lblAlgn val="ctr"/>
        <c:lblOffset val="100"/>
        <c:noMultiLvlLbl val="0"/>
      </c:catAx>
      <c:valAx>
        <c:axId val="599367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54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DEATHS'!$J$1</c:f>
              <c:strCache>
                <c:ptCount val="1"/>
                <c:pt idx="0">
                  <c:v>Sum of MVC Deaths 2019</c:v>
                </c:pt>
              </c:strCache>
            </c:strRef>
          </c:tx>
          <c:spPr>
            <a:solidFill>
              <a:schemeClr val="accent1"/>
            </a:solidFill>
            <a:ln>
              <a:noFill/>
            </a:ln>
            <a:effectLst/>
          </c:spPr>
          <c:invertIfNegative val="0"/>
          <c:cat>
            <c:strRef>
              <c:f>'PIVOT FOR DEATHS'!$I$2:$I$31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DEATHS'!$J$2:$J$31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0-5FB7-4129-838A-318949B17BCC}"/>
            </c:ext>
          </c:extLst>
        </c:ser>
        <c:ser>
          <c:idx val="1"/>
          <c:order val="1"/>
          <c:tx>
            <c:strRef>
              <c:f>'PIVOT FOR DEATHS'!$K$1</c:f>
              <c:strCache>
                <c:ptCount val="1"/>
                <c:pt idx="0">
                  <c:v>Sum of MVC Death per 100k POP. 2019</c:v>
                </c:pt>
              </c:strCache>
            </c:strRef>
          </c:tx>
          <c:spPr>
            <a:solidFill>
              <a:schemeClr val="accent2"/>
            </a:solidFill>
            <a:ln>
              <a:noFill/>
            </a:ln>
            <a:effectLst/>
          </c:spPr>
          <c:invertIfNegative val="0"/>
          <c:cat>
            <c:strRef>
              <c:f>'PIVOT FOR DEATHS'!$I$2:$I$31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DEATHS'!$K$2:$K$31</c:f>
              <c:numCache>
                <c:formatCode>General</c:formatCode>
                <c:ptCount val="29"/>
                <c:pt idx="0">
                  <c:v>4.7</c:v>
                </c:pt>
                <c:pt idx="1">
                  <c:v>4.7</c:v>
                </c:pt>
                <c:pt idx="2">
                  <c:v>5.6</c:v>
                </c:pt>
                <c:pt idx="3">
                  <c:v>4.7</c:v>
                </c:pt>
                <c:pt idx="4">
                  <c:v>10.5</c:v>
                </c:pt>
                <c:pt idx="5">
                  <c:v>5.8</c:v>
                </c:pt>
                <c:pt idx="6">
                  <c:v>3.4</c:v>
                </c:pt>
                <c:pt idx="7">
                  <c:v>3.8</c:v>
                </c:pt>
                <c:pt idx="8">
                  <c:v>5</c:v>
                </c:pt>
                <c:pt idx="9">
                  <c:v>3.7</c:v>
                </c:pt>
                <c:pt idx="10">
                  <c:v>6.4</c:v>
                </c:pt>
                <c:pt idx="11">
                  <c:v>6.2</c:v>
                </c:pt>
                <c:pt idx="12">
                  <c:v>2.9</c:v>
                </c:pt>
                <c:pt idx="13">
                  <c:v>3.9</c:v>
                </c:pt>
                <c:pt idx="14">
                  <c:v>5.3</c:v>
                </c:pt>
                <c:pt idx="15">
                  <c:v>3.1</c:v>
                </c:pt>
                <c:pt idx="16">
                  <c:v>6.7</c:v>
                </c:pt>
                <c:pt idx="17">
                  <c:v>3.8</c:v>
                </c:pt>
                <c:pt idx="18">
                  <c:v>7.1</c:v>
                </c:pt>
                <c:pt idx="19">
                  <c:v>2</c:v>
                </c:pt>
                <c:pt idx="20">
                  <c:v>7.7</c:v>
                </c:pt>
                <c:pt idx="21">
                  <c:v>6</c:v>
                </c:pt>
                <c:pt idx="22">
                  <c:v>4.9000000000000004</c:v>
                </c:pt>
                <c:pt idx="23">
                  <c:v>6.5</c:v>
                </c:pt>
                <c:pt idx="24">
                  <c:v>3.7</c:v>
                </c:pt>
                <c:pt idx="25">
                  <c:v>2.2000000000000002</c:v>
                </c:pt>
                <c:pt idx="26">
                  <c:v>2.2000000000000002</c:v>
                </c:pt>
                <c:pt idx="27">
                  <c:v>2.7</c:v>
                </c:pt>
                <c:pt idx="28">
                  <c:v>11.1</c:v>
                </c:pt>
              </c:numCache>
            </c:numRef>
          </c:val>
          <c:extLst>
            <c:ext xmlns:c16="http://schemas.microsoft.com/office/drawing/2014/chart" uri="{C3380CC4-5D6E-409C-BE32-E72D297353CC}">
              <c16:uniqueId val="{00000001-5FB7-4129-838A-318949B17BCC}"/>
            </c:ext>
          </c:extLst>
        </c:ser>
        <c:dLbls>
          <c:showLegendKey val="0"/>
          <c:showVal val="0"/>
          <c:showCatName val="0"/>
          <c:showSerName val="0"/>
          <c:showPercent val="0"/>
          <c:showBubbleSize val="0"/>
        </c:dLbls>
        <c:gapWidth val="182"/>
        <c:axId val="612979471"/>
        <c:axId val="612968431"/>
      </c:barChart>
      <c:catAx>
        <c:axId val="612979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968431"/>
        <c:crosses val="autoZero"/>
        <c:auto val="1"/>
        <c:lblAlgn val="ctr"/>
        <c:lblOffset val="100"/>
        <c:noMultiLvlLbl val="0"/>
      </c:catAx>
      <c:valAx>
        <c:axId val="612968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97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DEATHS'!$Q$1</c:f>
              <c:strCache>
                <c:ptCount val="1"/>
                <c:pt idx="0">
                  <c:v>Sum of MVC Deaths 2015</c:v>
                </c:pt>
              </c:strCache>
            </c:strRef>
          </c:tx>
          <c:spPr>
            <a:solidFill>
              <a:schemeClr val="accent1"/>
            </a:solidFill>
            <a:ln>
              <a:noFill/>
            </a:ln>
            <a:effectLst/>
          </c:spPr>
          <c:invertIfNegative val="0"/>
          <c:cat>
            <c:strRef>
              <c:f>'PIVOT FOR DEATHS'!$P$2:$P$31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DEATHS'!$Q$2:$Q$31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858B-418E-B260-9D0DD947A873}"/>
            </c:ext>
          </c:extLst>
        </c:ser>
        <c:ser>
          <c:idx val="1"/>
          <c:order val="1"/>
          <c:tx>
            <c:strRef>
              <c:f>'PIVOT FOR DEATHS'!$R$1</c:f>
              <c:strCache>
                <c:ptCount val="1"/>
                <c:pt idx="0">
                  <c:v>Count of MVC Death per 100k POP. 2015</c:v>
                </c:pt>
              </c:strCache>
            </c:strRef>
          </c:tx>
          <c:spPr>
            <a:solidFill>
              <a:schemeClr val="accent2"/>
            </a:solidFill>
            <a:ln>
              <a:noFill/>
            </a:ln>
            <a:effectLst/>
          </c:spPr>
          <c:invertIfNegative val="0"/>
          <c:cat>
            <c:strRef>
              <c:f>'PIVOT FOR DEATHS'!$P$2:$P$31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DEATHS'!$R$2:$R$31</c:f>
              <c:numCache>
                <c:formatCode>General</c:formatCode>
                <c:ptCount val="2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numCache>
            </c:numRef>
          </c:val>
          <c:extLst>
            <c:ext xmlns:c16="http://schemas.microsoft.com/office/drawing/2014/chart" uri="{C3380CC4-5D6E-409C-BE32-E72D297353CC}">
              <c16:uniqueId val="{00000001-858B-418E-B260-9D0DD947A873}"/>
            </c:ext>
          </c:extLst>
        </c:ser>
        <c:dLbls>
          <c:showLegendKey val="0"/>
          <c:showVal val="0"/>
          <c:showCatName val="0"/>
          <c:showSerName val="0"/>
          <c:showPercent val="0"/>
          <c:showBubbleSize val="0"/>
        </c:dLbls>
        <c:gapWidth val="182"/>
        <c:axId val="625447903"/>
        <c:axId val="625448383"/>
      </c:barChart>
      <c:catAx>
        <c:axId val="625447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8383"/>
        <c:crosses val="autoZero"/>
        <c:auto val="1"/>
        <c:lblAlgn val="ctr"/>
        <c:lblOffset val="100"/>
        <c:noMultiLvlLbl val="0"/>
      </c:catAx>
      <c:valAx>
        <c:axId val="6254483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7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FOR DEATHS'!$Z$1</c:f>
              <c:strCache>
                <c:ptCount val="1"/>
                <c:pt idx="0">
                  <c:v>Sum of MVC Deaths 2015</c:v>
                </c:pt>
              </c:strCache>
            </c:strRef>
          </c:tx>
          <c:spPr>
            <a:solidFill>
              <a:schemeClr val="accent1"/>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DEATHS'!$Z$2:$Z$31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4F96-41E8-81AD-2CE9A89BBD7C}"/>
            </c:ext>
          </c:extLst>
        </c:ser>
        <c:ser>
          <c:idx val="1"/>
          <c:order val="1"/>
          <c:tx>
            <c:strRef>
              <c:f>'PIVOT FOR DEATHS'!$AA$1</c:f>
              <c:strCache>
                <c:ptCount val="1"/>
                <c:pt idx="0">
                  <c:v>Sum of MVC Deaths 2019</c:v>
                </c:pt>
              </c:strCache>
            </c:strRef>
          </c:tx>
          <c:spPr>
            <a:solidFill>
              <a:schemeClr val="accent2"/>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DEATHS'!$AA$2:$AA$31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1-4F96-41E8-81AD-2CE9A89BBD7C}"/>
            </c:ext>
          </c:extLst>
        </c:ser>
        <c:ser>
          <c:idx val="2"/>
          <c:order val="2"/>
          <c:tx>
            <c:strRef>
              <c:f>'PIVOT FOR DEATHS'!$AB$1</c:f>
              <c:strCache>
                <c:ptCount val="1"/>
                <c:pt idx="0">
                  <c:v>Sum of Population, 2015</c:v>
                </c:pt>
              </c:strCache>
            </c:strRef>
          </c:tx>
          <c:spPr>
            <a:solidFill>
              <a:schemeClr val="accent3"/>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DEATHS'!$AB$2:$AB$31</c:f>
              <c:numCache>
                <c:formatCode>General</c:formatCode>
                <c:ptCount val="29"/>
                <c:pt idx="0">
                  <c:v>23815995</c:v>
                </c:pt>
                <c:pt idx="1">
                  <c:v>8584926</c:v>
                </c:pt>
                <c:pt idx="2">
                  <c:v>11237274</c:v>
                </c:pt>
                <c:pt idx="3">
                  <c:v>35826748</c:v>
                </c:pt>
                <c:pt idx="4">
                  <c:v>18006407</c:v>
                </c:pt>
                <c:pt idx="5">
                  <c:v>10538275</c:v>
                </c:pt>
                <c:pt idx="6">
                  <c:v>5659715</c:v>
                </c:pt>
                <c:pt idx="7">
                  <c:v>5471753</c:v>
                </c:pt>
                <c:pt idx="8">
                  <c:v>64300821</c:v>
                </c:pt>
                <c:pt idx="9">
                  <c:v>81197537</c:v>
                </c:pt>
                <c:pt idx="10">
                  <c:v>10858018</c:v>
                </c:pt>
                <c:pt idx="11">
                  <c:v>9855571</c:v>
                </c:pt>
                <c:pt idx="12">
                  <c:v>4677627</c:v>
                </c:pt>
                <c:pt idx="13">
                  <c:v>8463400</c:v>
                </c:pt>
                <c:pt idx="14">
                  <c:v>60795612</c:v>
                </c:pt>
                <c:pt idx="15">
                  <c:v>127095000</c:v>
                </c:pt>
                <c:pt idx="16">
                  <c:v>2921262</c:v>
                </c:pt>
                <c:pt idx="17">
                  <c:v>16900726</c:v>
                </c:pt>
                <c:pt idx="18">
                  <c:v>4596700</c:v>
                </c:pt>
                <c:pt idx="19">
                  <c:v>5165802</c:v>
                </c:pt>
                <c:pt idx="20">
                  <c:v>38005614</c:v>
                </c:pt>
                <c:pt idx="21">
                  <c:v>10374822</c:v>
                </c:pt>
                <c:pt idx="22">
                  <c:v>2062874</c:v>
                </c:pt>
                <c:pt idx="23">
                  <c:v>51014947</c:v>
                </c:pt>
                <c:pt idx="24">
                  <c:v>46449565</c:v>
                </c:pt>
                <c:pt idx="25">
                  <c:v>9747355</c:v>
                </c:pt>
                <c:pt idx="26">
                  <c:v>8237666</c:v>
                </c:pt>
                <c:pt idx="27">
                  <c:v>65110034</c:v>
                </c:pt>
                <c:pt idx="28">
                  <c:v>320635163</c:v>
                </c:pt>
              </c:numCache>
            </c:numRef>
          </c:val>
          <c:extLst>
            <c:ext xmlns:c16="http://schemas.microsoft.com/office/drawing/2014/chart" uri="{C3380CC4-5D6E-409C-BE32-E72D297353CC}">
              <c16:uniqueId val="{00000002-4F96-41E8-81AD-2CE9A89BBD7C}"/>
            </c:ext>
          </c:extLst>
        </c:ser>
        <c:ser>
          <c:idx val="3"/>
          <c:order val="3"/>
          <c:tx>
            <c:strRef>
              <c:f>'PIVOT FOR DEATHS'!$AC$1</c:f>
              <c:strCache>
                <c:ptCount val="1"/>
                <c:pt idx="0">
                  <c:v>Sum of Population, 2019</c:v>
                </c:pt>
              </c:strCache>
            </c:strRef>
          </c:tx>
          <c:spPr>
            <a:solidFill>
              <a:schemeClr val="accent4"/>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DEATHS'!$AC$2:$AC$31</c:f>
              <c:numCache>
                <c:formatCode>General</c:formatCode>
                <c:ptCount val="29"/>
                <c:pt idx="0">
                  <c:v>25365571</c:v>
                </c:pt>
                <c:pt idx="1">
                  <c:v>8858775</c:v>
                </c:pt>
                <c:pt idx="2">
                  <c:v>11455519</c:v>
                </c:pt>
                <c:pt idx="3">
                  <c:v>37593384</c:v>
                </c:pt>
                <c:pt idx="4">
                  <c:v>18726548</c:v>
                </c:pt>
                <c:pt idx="5">
                  <c:v>10649800</c:v>
                </c:pt>
                <c:pt idx="6">
                  <c:v>5806081</c:v>
                </c:pt>
                <c:pt idx="7">
                  <c:v>5517919</c:v>
                </c:pt>
                <c:pt idx="8">
                  <c:v>64812052</c:v>
                </c:pt>
                <c:pt idx="9">
                  <c:v>83019213</c:v>
                </c:pt>
                <c:pt idx="10">
                  <c:v>10724599</c:v>
                </c:pt>
                <c:pt idx="11">
                  <c:v>9772756</c:v>
                </c:pt>
                <c:pt idx="12">
                  <c:v>4904240</c:v>
                </c:pt>
                <c:pt idx="13">
                  <c:v>9054100</c:v>
                </c:pt>
                <c:pt idx="14">
                  <c:v>60359546</c:v>
                </c:pt>
                <c:pt idx="15">
                  <c:v>126167000</c:v>
                </c:pt>
                <c:pt idx="16">
                  <c:v>2794184</c:v>
                </c:pt>
                <c:pt idx="17">
                  <c:v>17282163</c:v>
                </c:pt>
                <c:pt idx="18">
                  <c:v>4979200</c:v>
                </c:pt>
                <c:pt idx="19">
                  <c:v>5328212</c:v>
                </c:pt>
                <c:pt idx="20">
                  <c:v>37972812</c:v>
                </c:pt>
                <c:pt idx="21">
                  <c:v>10276617</c:v>
                </c:pt>
                <c:pt idx="22">
                  <c:v>2080908</c:v>
                </c:pt>
                <c:pt idx="23">
                  <c:v>51709098</c:v>
                </c:pt>
                <c:pt idx="24">
                  <c:v>46937060</c:v>
                </c:pt>
                <c:pt idx="25">
                  <c:v>10230185</c:v>
                </c:pt>
                <c:pt idx="26">
                  <c:v>8544527</c:v>
                </c:pt>
                <c:pt idx="27">
                  <c:v>66796807</c:v>
                </c:pt>
                <c:pt idx="28">
                  <c:v>328239523</c:v>
                </c:pt>
              </c:numCache>
            </c:numRef>
          </c:val>
          <c:extLst>
            <c:ext xmlns:c16="http://schemas.microsoft.com/office/drawing/2014/chart" uri="{C3380CC4-5D6E-409C-BE32-E72D297353CC}">
              <c16:uniqueId val="{00000003-4F96-41E8-81AD-2CE9A89BBD7C}"/>
            </c:ext>
          </c:extLst>
        </c:ser>
        <c:dLbls>
          <c:showLegendKey val="0"/>
          <c:showVal val="0"/>
          <c:showCatName val="0"/>
          <c:showSerName val="0"/>
          <c:showPercent val="0"/>
          <c:showBubbleSize val="0"/>
        </c:dLbls>
        <c:gapWidth val="150"/>
        <c:axId val="625435423"/>
        <c:axId val="625441183"/>
      </c:barChart>
      <c:catAx>
        <c:axId val="6254354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1183"/>
        <c:crosses val="autoZero"/>
        <c:auto val="1"/>
        <c:lblAlgn val="ctr"/>
        <c:lblOffset val="100"/>
        <c:noMultiLvlLbl val="0"/>
      </c:catAx>
      <c:valAx>
        <c:axId val="625441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35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SUMMARY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FOR DEATHS'!$Z$1</c:f>
              <c:strCache>
                <c:ptCount val="1"/>
                <c:pt idx="0">
                  <c:v>Sum of MVC Deaths 2015</c:v>
                </c:pt>
              </c:strCache>
            </c:strRef>
          </c:tx>
          <c:spPr>
            <a:solidFill>
              <a:schemeClr val="accent1"/>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DEATHS'!$Z$2:$Z$31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D108-4AD1-B01E-88E3CD0FEDC1}"/>
            </c:ext>
          </c:extLst>
        </c:ser>
        <c:ser>
          <c:idx val="1"/>
          <c:order val="1"/>
          <c:tx>
            <c:strRef>
              <c:f>'PIVOT FOR DEATHS'!$AA$1</c:f>
              <c:strCache>
                <c:ptCount val="1"/>
                <c:pt idx="0">
                  <c:v>Sum of MVC Deaths 2019</c:v>
                </c:pt>
              </c:strCache>
            </c:strRef>
          </c:tx>
          <c:spPr>
            <a:solidFill>
              <a:schemeClr val="accent2"/>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DEATHS'!$AA$2:$AA$31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1-D108-4AD1-B01E-88E3CD0FEDC1}"/>
            </c:ext>
          </c:extLst>
        </c:ser>
        <c:ser>
          <c:idx val="2"/>
          <c:order val="2"/>
          <c:tx>
            <c:strRef>
              <c:f>'PIVOT FOR DEATHS'!$AB$1</c:f>
              <c:strCache>
                <c:ptCount val="1"/>
                <c:pt idx="0">
                  <c:v>Sum of Population, 2015</c:v>
                </c:pt>
              </c:strCache>
            </c:strRef>
          </c:tx>
          <c:spPr>
            <a:solidFill>
              <a:schemeClr val="accent3"/>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DEATHS'!$AB$2:$AB$31</c:f>
              <c:numCache>
                <c:formatCode>General</c:formatCode>
                <c:ptCount val="29"/>
                <c:pt idx="0">
                  <c:v>23815995</c:v>
                </c:pt>
                <c:pt idx="1">
                  <c:v>8584926</c:v>
                </c:pt>
                <c:pt idx="2">
                  <c:v>11237274</c:v>
                </c:pt>
                <c:pt idx="3">
                  <c:v>35826748</c:v>
                </c:pt>
                <c:pt idx="4">
                  <c:v>18006407</c:v>
                </c:pt>
                <c:pt idx="5">
                  <c:v>10538275</c:v>
                </c:pt>
                <c:pt idx="6">
                  <c:v>5659715</c:v>
                </c:pt>
                <c:pt idx="7">
                  <c:v>5471753</c:v>
                </c:pt>
                <c:pt idx="8">
                  <c:v>64300821</c:v>
                </c:pt>
                <c:pt idx="9">
                  <c:v>81197537</c:v>
                </c:pt>
                <c:pt idx="10">
                  <c:v>10858018</c:v>
                </c:pt>
                <c:pt idx="11">
                  <c:v>9855571</c:v>
                </c:pt>
                <c:pt idx="12">
                  <c:v>4677627</c:v>
                </c:pt>
                <c:pt idx="13">
                  <c:v>8463400</c:v>
                </c:pt>
                <c:pt idx="14">
                  <c:v>60795612</c:v>
                </c:pt>
                <c:pt idx="15">
                  <c:v>127095000</c:v>
                </c:pt>
                <c:pt idx="16">
                  <c:v>2921262</c:v>
                </c:pt>
                <c:pt idx="17">
                  <c:v>16900726</c:v>
                </c:pt>
                <c:pt idx="18">
                  <c:v>4596700</c:v>
                </c:pt>
                <c:pt idx="19">
                  <c:v>5165802</c:v>
                </c:pt>
                <c:pt idx="20">
                  <c:v>38005614</c:v>
                </c:pt>
                <c:pt idx="21">
                  <c:v>10374822</c:v>
                </c:pt>
                <c:pt idx="22">
                  <c:v>2062874</c:v>
                </c:pt>
                <c:pt idx="23">
                  <c:v>51014947</c:v>
                </c:pt>
                <c:pt idx="24">
                  <c:v>46449565</c:v>
                </c:pt>
                <c:pt idx="25">
                  <c:v>9747355</c:v>
                </c:pt>
                <c:pt idx="26">
                  <c:v>8237666</c:v>
                </c:pt>
                <c:pt idx="27">
                  <c:v>65110034</c:v>
                </c:pt>
                <c:pt idx="28">
                  <c:v>320635163</c:v>
                </c:pt>
              </c:numCache>
            </c:numRef>
          </c:val>
          <c:extLst>
            <c:ext xmlns:c16="http://schemas.microsoft.com/office/drawing/2014/chart" uri="{C3380CC4-5D6E-409C-BE32-E72D297353CC}">
              <c16:uniqueId val="{00000002-D108-4AD1-B01E-88E3CD0FEDC1}"/>
            </c:ext>
          </c:extLst>
        </c:ser>
        <c:ser>
          <c:idx val="3"/>
          <c:order val="3"/>
          <c:tx>
            <c:strRef>
              <c:f>'PIVOT FOR DEATHS'!$AC$1</c:f>
              <c:strCache>
                <c:ptCount val="1"/>
                <c:pt idx="0">
                  <c:v>Sum of Population, 2019</c:v>
                </c:pt>
              </c:strCache>
            </c:strRef>
          </c:tx>
          <c:spPr>
            <a:solidFill>
              <a:schemeClr val="accent4"/>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DEATHS'!$AC$2:$AC$31</c:f>
              <c:numCache>
                <c:formatCode>General</c:formatCode>
                <c:ptCount val="29"/>
                <c:pt idx="0">
                  <c:v>25365571</c:v>
                </c:pt>
                <c:pt idx="1">
                  <c:v>8858775</c:v>
                </c:pt>
                <c:pt idx="2">
                  <c:v>11455519</c:v>
                </c:pt>
                <c:pt idx="3">
                  <c:v>37593384</c:v>
                </c:pt>
                <c:pt idx="4">
                  <c:v>18726548</c:v>
                </c:pt>
                <c:pt idx="5">
                  <c:v>10649800</c:v>
                </c:pt>
                <c:pt idx="6">
                  <c:v>5806081</c:v>
                </c:pt>
                <c:pt idx="7">
                  <c:v>5517919</c:v>
                </c:pt>
                <c:pt idx="8">
                  <c:v>64812052</c:v>
                </c:pt>
                <c:pt idx="9">
                  <c:v>83019213</c:v>
                </c:pt>
                <c:pt idx="10">
                  <c:v>10724599</c:v>
                </c:pt>
                <c:pt idx="11">
                  <c:v>9772756</c:v>
                </c:pt>
                <c:pt idx="12">
                  <c:v>4904240</c:v>
                </c:pt>
                <c:pt idx="13">
                  <c:v>9054100</c:v>
                </c:pt>
                <c:pt idx="14">
                  <c:v>60359546</c:v>
                </c:pt>
                <c:pt idx="15">
                  <c:v>126167000</c:v>
                </c:pt>
                <c:pt idx="16">
                  <c:v>2794184</c:v>
                </c:pt>
                <c:pt idx="17">
                  <c:v>17282163</c:v>
                </c:pt>
                <c:pt idx="18">
                  <c:v>4979200</c:v>
                </c:pt>
                <c:pt idx="19">
                  <c:v>5328212</c:v>
                </c:pt>
                <c:pt idx="20">
                  <c:v>37972812</c:v>
                </c:pt>
                <c:pt idx="21">
                  <c:v>10276617</c:v>
                </c:pt>
                <c:pt idx="22">
                  <c:v>2080908</c:v>
                </c:pt>
                <c:pt idx="23">
                  <c:v>51709098</c:v>
                </c:pt>
                <c:pt idx="24">
                  <c:v>46937060</c:v>
                </c:pt>
                <c:pt idx="25">
                  <c:v>10230185</c:v>
                </c:pt>
                <c:pt idx="26">
                  <c:v>8544527</c:v>
                </c:pt>
                <c:pt idx="27">
                  <c:v>66796807</c:v>
                </c:pt>
                <c:pt idx="28">
                  <c:v>328239523</c:v>
                </c:pt>
              </c:numCache>
            </c:numRef>
          </c:val>
          <c:extLst>
            <c:ext xmlns:c16="http://schemas.microsoft.com/office/drawing/2014/chart" uri="{C3380CC4-5D6E-409C-BE32-E72D297353CC}">
              <c16:uniqueId val="{00000003-D108-4AD1-B01E-88E3CD0FEDC1}"/>
            </c:ext>
          </c:extLst>
        </c:ser>
        <c:dLbls>
          <c:showLegendKey val="0"/>
          <c:showVal val="0"/>
          <c:showCatName val="0"/>
          <c:showSerName val="0"/>
          <c:showPercent val="0"/>
          <c:showBubbleSize val="0"/>
        </c:dLbls>
        <c:gapWidth val="150"/>
        <c:axId val="625435423"/>
        <c:axId val="625441183"/>
      </c:barChart>
      <c:catAx>
        <c:axId val="6254354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1183"/>
        <c:crosses val="autoZero"/>
        <c:auto val="1"/>
        <c:lblAlgn val="ctr"/>
        <c:lblOffset val="100"/>
        <c:noMultiLvlLbl val="0"/>
      </c:catAx>
      <c:valAx>
        <c:axId val="62544118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35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DEATHS!PivotTable9</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200" b="0" i="0" baseline="0">
                <a:effectLst/>
              </a:rPr>
              <a:t>MVC death Vs 100k Pop. 2015</a:t>
            </a:r>
            <a:endParaRPr lang="en-GB" sz="12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rgbClr val="000000">
                    <a:lumMod val="65000"/>
                    <a:lumOff val="35000"/>
                  </a:srgbClr>
                </a:solidFill>
              </a:defRPr>
            </a:pPr>
            <a:endParaRPr lang="en-GB"/>
          </a:p>
        </c:rich>
      </c:tx>
      <c:layout>
        <c:manualLayout>
          <c:xMode val="edge"/>
          <c:yMode val="edge"/>
          <c:x val="0.15923499361430396"/>
          <c:y val="3.527777777777777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DEATHS'!$Q$1</c:f>
              <c:strCache>
                <c:ptCount val="1"/>
                <c:pt idx="0">
                  <c:v>Sum of MVC Deaths 2015</c:v>
                </c:pt>
              </c:strCache>
            </c:strRef>
          </c:tx>
          <c:spPr>
            <a:solidFill>
              <a:schemeClr val="accent1"/>
            </a:solidFill>
            <a:ln>
              <a:noFill/>
            </a:ln>
            <a:effectLst/>
          </c:spPr>
          <c:invertIfNegative val="0"/>
          <c:cat>
            <c:strRef>
              <c:f>'PIVOT FOR DEATHS'!$P$2:$P$31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DEATHS'!$Q$2:$Q$31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3D32-4A7B-BC4B-CDDC30B69F2D}"/>
            </c:ext>
          </c:extLst>
        </c:ser>
        <c:ser>
          <c:idx val="1"/>
          <c:order val="1"/>
          <c:tx>
            <c:strRef>
              <c:f>'PIVOT FOR DEATHS'!$R$1</c:f>
              <c:strCache>
                <c:ptCount val="1"/>
                <c:pt idx="0">
                  <c:v>Count of MVC Death per 100k POP. 2015</c:v>
                </c:pt>
              </c:strCache>
            </c:strRef>
          </c:tx>
          <c:spPr>
            <a:solidFill>
              <a:schemeClr val="accent2"/>
            </a:solidFill>
            <a:ln>
              <a:noFill/>
            </a:ln>
            <a:effectLst/>
          </c:spPr>
          <c:invertIfNegative val="0"/>
          <c:cat>
            <c:strRef>
              <c:f>'PIVOT FOR DEATHS'!$P$2:$P$31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DEATHS'!$R$2:$R$31</c:f>
              <c:numCache>
                <c:formatCode>General</c:formatCode>
                <c:ptCount val="2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numCache>
            </c:numRef>
          </c:val>
          <c:extLst>
            <c:ext xmlns:c16="http://schemas.microsoft.com/office/drawing/2014/chart" uri="{C3380CC4-5D6E-409C-BE32-E72D297353CC}">
              <c16:uniqueId val="{00000001-3D32-4A7B-BC4B-CDDC30B69F2D}"/>
            </c:ext>
          </c:extLst>
        </c:ser>
        <c:dLbls>
          <c:showLegendKey val="0"/>
          <c:showVal val="0"/>
          <c:showCatName val="0"/>
          <c:showSerName val="0"/>
          <c:showPercent val="0"/>
          <c:showBubbleSize val="0"/>
        </c:dLbls>
        <c:gapWidth val="182"/>
        <c:axId val="625447903"/>
        <c:axId val="625448383"/>
      </c:barChart>
      <c:catAx>
        <c:axId val="625447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8383"/>
        <c:crosses val="autoZero"/>
        <c:auto val="1"/>
        <c:lblAlgn val="ctr"/>
        <c:lblOffset val="100"/>
        <c:noMultiLvlLbl val="0"/>
      </c:catAx>
      <c:valAx>
        <c:axId val="6254483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7903"/>
        <c:crosses val="autoZero"/>
        <c:crossBetween val="between"/>
      </c:valAx>
      <c:spPr>
        <a:noFill/>
        <a:ln>
          <a:noFill/>
        </a:ln>
        <a:effectLst/>
      </c:spPr>
    </c:plotArea>
    <c:legend>
      <c:legendPos val="r"/>
      <c:layout>
        <c:manualLayout>
          <c:xMode val="edge"/>
          <c:yMode val="edge"/>
          <c:x val="0.66514335887611753"/>
          <c:y val="0.38007870370370372"/>
          <c:w val="0.31052713920817371"/>
          <c:h val="0.42155277777777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DEATHS!PivotTable6</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200" b="0" i="0" baseline="0">
                <a:effectLst/>
              </a:rPr>
              <a:t>MVC death Vs 100k Pop. 2015</a:t>
            </a:r>
            <a:endParaRPr lang="en-GB" sz="12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rgbClr val="000000">
                    <a:lumMod val="65000"/>
                    <a:lumOff val="35000"/>
                  </a:srgbClr>
                </a:solidFill>
              </a:defRPr>
            </a:pPr>
            <a:endParaRPr lang="en-GB"/>
          </a:p>
        </c:rich>
      </c:tx>
      <c:overlay val="0"/>
      <c:spPr>
        <a:noFill/>
        <a:ln>
          <a:noFill/>
        </a:ln>
        <a:effectLst>
          <a:outerShdw blurRad="50800" dist="50800" dir="5400000" algn="ctr" rotWithShape="0">
            <a:schemeClr val="bg2"/>
          </a:outerShdw>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DEATHS'!$J$1</c:f>
              <c:strCache>
                <c:ptCount val="1"/>
                <c:pt idx="0">
                  <c:v>Sum of MVC Deaths 2019</c:v>
                </c:pt>
              </c:strCache>
            </c:strRef>
          </c:tx>
          <c:spPr>
            <a:solidFill>
              <a:schemeClr val="accent1"/>
            </a:solidFill>
            <a:ln>
              <a:noFill/>
            </a:ln>
            <a:effectLst/>
          </c:spPr>
          <c:invertIfNegative val="0"/>
          <c:cat>
            <c:strRef>
              <c:f>'PIVOT FOR DEATHS'!$I$2:$I$31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DEATHS'!$J$2:$J$31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0-2E8C-4553-8546-BD658487645E}"/>
            </c:ext>
          </c:extLst>
        </c:ser>
        <c:ser>
          <c:idx val="1"/>
          <c:order val="1"/>
          <c:tx>
            <c:strRef>
              <c:f>'PIVOT FOR DEATHS'!$K$1</c:f>
              <c:strCache>
                <c:ptCount val="1"/>
                <c:pt idx="0">
                  <c:v>Sum of MVC Death per 100k POP. 2019</c:v>
                </c:pt>
              </c:strCache>
            </c:strRef>
          </c:tx>
          <c:spPr>
            <a:solidFill>
              <a:schemeClr val="accent2"/>
            </a:solidFill>
            <a:ln>
              <a:noFill/>
            </a:ln>
            <a:effectLst/>
          </c:spPr>
          <c:invertIfNegative val="0"/>
          <c:cat>
            <c:strRef>
              <c:f>'PIVOT FOR DEATHS'!$I$2:$I$31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DEATHS'!$K$2:$K$31</c:f>
              <c:numCache>
                <c:formatCode>General</c:formatCode>
                <c:ptCount val="29"/>
                <c:pt idx="0">
                  <c:v>4.7</c:v>
                </c:pt>
                <c:pt idx="1">
                  <c:v>4.7</c:v>
                </c:pt>
                <c:pt idx="2">
                  <c:v>5.6</c:v>
                </c:pt>
                <c:pt idx="3">
                  <c:v>4.7</c:v>
                </c:pt>
                <c:pt idx="4">
                  <c:v>10.5</c:v>
                </c:pt>
                <c:pt idx="5">
                  <c:v>5.8</c:v>
                </c:pt>
                <c:pt idx="6">
                  <c:v>3.4</c:v>
                </c:pt>
                <c:pt idx="7">
                  <c:v>3.8</c:v>
                </c:pt>
                <c:pt idx="8">
                  <c:v>5</c:v>
                </c:pt>
                <c:pt idx="9">
                  <c:v>3.7</c:v>
                </c:pt>
                <c:pt idx="10">
                  <c:v>6.4</c:v>
                </c:pt>
                <c:pt idx="11">
                  <c:v>6.2</c:v>
                </c:pt>
                <c:pt idx="12">
                  <c:v>2.9</c:v>
                </c:pt>
                <c:pt idx="13">
                  <c:v>3.9</c:v>
                </c:pt>
                <c:pt idx="14">
                  <c:v>5.3</c:v>
                </c:pt>
                <c:pt idx="15">
                  <c:v>3.1</c:v>
                </c:pt>
                <c:pt idx="16">
                  <c:v>6.7</c:v>
                </c:pt>
                <c:pt idx="17">
                  <c:v>3.8</c:v>
                </c:pt>
                <c:pt idx="18">
                  <c:v>7.1</c:v>
                </c:pt>
                <c:pt idx="19">
                  <c:v>2</c:v>
                </c:pt>
                <c:pt idx="20">
                  <c:v>7.7</c:v>
                </c:pt>
                <c:pt idx="21">
                  <c:v>6</c:v>
                </c:pt>
                <c:pt idx="22">
                  <c:v>4.9000000000000004</c:v>
                </c:pt>
                <c:pt idx="23">
                  <c:v>6.5</c:v>
                </c:pt>
                <c:pt idx="24">
                  <c:v>3.7</c:v>
                </c:pt>
                <c:pt idx="25">
                  <c:v>2.2000000000000002</c:v>
                </c:pt>
                <c:pt idx="26">
                  <c:v>2.2000000000000002</c:v>
                </c:pt>
                <c:pt idx="27">
                  <c:v>2.7</c:v>
                </c:pt>
                <c:pt idx="28">
                  <c:v>11.1</c:v>
                </c:pt>
              </c:numCache>
            </c:numRef>
          </c:val>
          <c:extLst>
            <c:ext xmlns:c16="http://schemas.microsoft.com/office/drawing/2014/chart" uri="{C3380CC4-5D6E-409C-BE32-E72D297353CC}">
              <c16:uniqueId val="{00000001-2E8C-4553-8546-BD658487645E}"/>
            </c:ext>
          </c:extLst>
        </c:ser>
        <c:dLbls>
          <c:showLegendKey val="0"/>
          <c:showVal val="0"/>
          <c:showCatName val="0"/>
          <c:showSerName val="0"/>
          <c:showPercent val="0"/>
          <c:showBubbleSize val="0"/>
        </c:dLbls>
        <c:gapWidth val="182"/>
        <c:axId val="612979471"/>
        <c:axId val="612968431"/>
      </c:barChart>
      <c:catAx>
        <c:axId val="612979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968431"/>
        <c:crosses val="autoZero"/>
        <c:auto val="1"/>
        <c:lblAlgn val="ctr"/>
        <c:lblOffset val="100"/>
        <c:noMultiLvlLbl val="0"/>
      </c:catAx>
      <c:valAx>
        <c:axId val="612968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97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aseline="0"/>
              <a:t>MVC death Vs Population 2015</a:t>
            </a:r>
            <a:endParaRPr lang="en-GB"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FOR DEATHS'!$B$1</c:f>
              <c:strCache>
                <c:ptCount val="1"/>
                <c:pt idx="0">
                  <c:v>Sum of MVC Deaths 2015</c:v>
                </c:pt>
              </c:strCache>
            </c:strRef>
          </c:tx>
          <c:spPr>
            <a:solidFill>
              <a:schemeClr val="accent1"/>
            </a:solidFill>
            <a:ln>
              <a:noFill/>
            </a:ln>
            <a:effectLst/>
          </c:spPr>
          <c:invertIfNegative val="0"/>
          <c:cat>
            <c:strRef>
              <c:f>'PIVOT FOR DEATHS'!$A$2:$A$31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DEATHS'!$B$2:$B$31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D4A7-4D36-8D59-17C7B2E79102}"/>
            </c:ext>
          </c:extLst>
        </c:ser>
        <c:ser>
          <c:idx val="1"/>
          <c:order val="1"/>
          <c:tx>
            <c:strRef>
              <c:f>'PIVOT FOR DEATHS'!$C$1</c:f>
              <c:strCache>
                <c:ptCount val="1"/>
                <c:pt idx="0">
                  <c:v>Sum of Population, 2015</c:v>
                </c:pt>
              </c:strCache>
            </c:strRef>
          </c:tx>
          <c:spPr>
            <a:solidFill>
              <a:schemeClr val="accent2"/>
            </a:solidFill>
            <a:ln>
              <a:noFill/>
            </a:ln>
            <a:effectLst/>
          </c:spPr>
          <c:invertIfNegative val="0"/>
          <c:cat>
            <c:strRef>
              <c:f>'PIVOT FOR DEATHS'!$A$2:$A$31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DEATHS'!$C$2:$C$31</c:f>
              <c:numCache>
                <c:formatCode>General</c:formatCode>
                <c:ptCount val="29"/>
                <c:pt idx="0">
                  <c:v>23815995</c:v>
                </c:pt>
                <c:pt idx="1">
                  <c:v>8584926</c:v>
                </c:pt>
                <c:pt idx="2">
                  <c:v>11237274</c:v>
                </c:pt>
                <c:pt idx="3">
                  <c:v>35826748</c:v>
                </c:pt>
                <c:pt idx="4">
                  <c:v>18006407</c:v>
                </c:pt>
                <c:pt idx="5">
                  <c:v>10538275</c:v>
                </c:pt>
                <c:pt idx="6">
                  <c:v>5659715</c:v>
                </c:pt>
                <c:pt idx="7">
                  <c:v>5471753</c:v>
                </c:pt>
                <c:pt idx="8">
                  <c:v>64300821</c:v>
                </c:pt>
                <c:pt idx="9">
                  <c:v>81197537</c:v>
                </c:pt>
                <c:pt idx="10">
                  <c:v>10858018</c:v>
                </c:pt>
                <c:pt idx="11">
                  <c:v>9855571</c:v>
                </c:pt>
                <c:pt idx="12">
                  <c:v>4677627</c:v>
                </c:pt>
                <c:pt idx="13">
                  <c:v>8463400</c:v>
                </c:pt>
                <c:pt idx="14">
                  <c:v>60795612</c:v>
                </c:pt>
                <c:pt idx="15">
                  <c:v>127095000</c:v>
                </c:pt>
                <c:pt idx="16">
                  <c:v>2921262</c:v>
                </c:pt>
                <c:pt idx="17">
                  <c:v>16900726</c:v>
                </c:pt>
                <c:pt idx="18">
                  <c:v>4596700</c:v>
                </c:pt>
                <c:pt idx="19">
                  <c:v>5165802</c:v>
                </c:pt>
                <c:pt idx="20">
                  <c:v>38005614</c:v>
                </c:pt>
                <c:pt idx="21">
                  <c:v>10374822</c:v>
                </c:pt>
                <c:pt idx="22">
                  <c:v>2062874</c:v>
                </c:pt>
                <c:pt idx="23">
                  <c:v>51014947</c:v>
                </c:pt>
                <c:pt idx="24">
                  <c:v>46449565</c:v>
                </c:pt>
                <c:pt idx="25">
                  <c:v>9747355</c:v>
                </c:pt>
                <c:pt idx="26">
                  <c:v>8237666</c:v>
                </c:pt>
                <c:pt idx="27">
                  <c:v>65110034</c:v>
                </c:pt>
                <c:pt idx="28">
                  <c:v>320635163</c:v>
                </c:pt>
              </c:numCache>
            </c:numRef>
          </c:val>
          <c:extLst>
            <c:ext xmlns:c16="http://schemas.microsoft.com/office/drawing/2014/chart" uri="{C3380CC4-5D6E-409C-BE32-E72D297353CC}">
              <c16:uniqueId val="{00000001-D4A7-4D36-8D59-17C7B2E79102}"/>
            </c:ext>
          </c:extLst>
        </c:ser>
        <c:dLbls>
          <c:showLegendKey val="0"/>
          <c:showVal val="0"/>
          <c:showCatName val="0"/>
          <c:showSerName val="0"/>
          <c:showPercent val="0"/>
          <c:showBubbleSize val="0"/>
        </c:dLbls>
        <c:gapWidth val="182"/>
        <c:axId val="599362543"/>
        <c:axId val="599363503"/>
      </c:barChart>
      <c:catAx>
        <c:axId val="59936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63503"/>
        <c:crosses val="autoZero"/>
        <c:auto val="1"/>
        <c:lblAlgn val="ctr"/>
        <c:lblOffset val="100"/>
        <c:noMultiLvlLbl val="0"/>
      </c:catAx>
      <c:valAx>
        <c:axId val="599363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62543"/>
        <c:crosses val="autoZero"/>
        <c:crossBetween val="between"/>
      </c:valAx>
      <c:spPr>
        <a:pattFill prst="pct5">
          <a:fgClr>
            <a:schemeClr val="accent4">
              <a:lumMod val="20000"/>
              <a:lumOff val="80000"/>
            </a:schemeClr>
          </a:fgClr>
          <a:bgClr>
            <a:schemeClr val="bg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DEATHS!PivotTable4</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200" b="0" i="0" baseline="0">
                <a:effectLst/>
              </a:rPr>
              <a:t>MVC death Vs Population 2019</a:t>
            </a:r>
            <a:endParaRPr lang="en-GB" sz="12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rgbClr val="000000">
                    <a:lumMod val="65000"/>
                    <a:lumOff val="35000"/>
                  </a:srgbClr>
                </a:solidFill>
              </a:defRPr>
            </a:pPr>
            <a:endParaRPr lang="en-GB"/>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DEATHS'!$F$1</c:f>
              <c:strCache>
                <c:ptCount val="1"/>
                <c:pt idx="0">
                  <c:v>Sum of MVC Deaths 2019</c:v>
                </c:pt>
              </c:strCache>
            </c:strRef>
          </c:tx>
          <c:spPr>
            <a:solidFill>
              <a:schemeClr val="accent1"/>
            </a:solidFill>
            <a:ln>
              <a:noFill/>
            </a:ln>
            <a:effectLst/>
          </c:spPr>
          <c:invertIfNegative val="0"/>
          <c:cat>
            <c:strRef>
              <c:f>'PIVOT FOR DEATHS'!$E$2:$E$31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DEATHS'!$F$2:$F$31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0-85E8-4877-9C54-D8B6688E6299}"/>
            </c:ext>
          </c:extLst>
        </c:ser>
        <c:ser>
          <c:idx val="1"/>
          <c:order val="1"/>
          <c:tx>
            <c:strRef>
              <c:f>'PIVOT FOR DEATHS'!$G$1</c:f>
              <c:strCache>
                <c:ptCount val="1"/>
                <c:pt idx="0">
                  <c:v>Sum of Population, 2019</c:v>
                </c:pt>
              </c:strCache>
            </c:strRef>
          </c:tx>
          <c:spPr>
            <a:solidFill>
              <a:schemeClr val="accent2"/>
            </a:solidFill>
            <a:ln>
              <a:noFill/>
            </a:ln>
            <a:effectLst/>
          </c:spPr>
          <c:invertIfNegative val="0"/>
          <c:cat>
            <c:strRef>
              <c:f>'PIVOT FOR DEATHS'!$E$2:$E$31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DEATHS'!$G$2:$G$31</c:f>
              <c:numCache>
                <c:formatCode>General</c:formatCode>
                <c:ptCount val="29"/>
                <c:pt idx="0">
                  <c:v>25365571</c:v>
                </c:pt>
                <c:pt idx="1">
                  <c:v>8858775</c:v>
                </c:pt>
                <c:pt idx="2">
                  <c:v>11455519</c:v>
                </c:pt>
                <c:pt idx="3">
                  <c:v>37593384</c:v>
                </c:pt>
                <c:pt idx="4">
                  <c:v>18726548</c:v>
                </c:pt>
                <c:pt idx="5">
                  <c:v>10649800</c:v>
                </c:pt>
                <c:pt idx="6">
                  <c:v>5806081</c:v>
                </c:pt>
                <c:pt idx="7">
                  <c:v>5517919</c:v>
                </c:pt>
                <c:pt idx="8">
                  <c:v>64812052</c:v>
                </c:pt>
                <c:pt idx="9">
                  <c:v>83019213</c:v>
                </c:pt>
                <c:pt idx="10">
                  <c:v>10724599</c:v>
                </c:pt>
                <c:pt idx="11">
                  <c:v>9772756</c:v>
                </c:pt>
                <c:pt idx="12">
                  <c:v>4904240</c:v>
                </c:pt>
                <c:pt idx="13">
                  <c:v>9054100</c:v>
                </c:pt>
                <c:pt idx="14">
                  <c:v>60359546</c:v>
                </c:pt>
                <c:pt idx="15">
                  <c:v>126167000</c:v>
                </c:pt>
                <c:pt idx="16">
                  <c:v>2794184</c:v>
                </c:pt>
                <c:pt idx="17">
                  <c:v>17282163</c:v>
                </c:pt>
                <c:pt idx="18">
                  <c:v>4979200</c:v>
                </c:pt>
                <c:pt idx="19">
                  <c:v>5328212</c:v>
                </c:pt>
                <c:pt idx="20">
                  <c:v>37972812</c:v>
                </c:pt>
                <c:pt idx="21">
                  <c:v>10276617</c:v>
                </c:pt>
                <c:pt idx="22">
                  <c:v>2080908</c:v>
                </c:pt>
                <c:pt idx="23">
                  <c:v>51709098</c:v>
                </c:pt>
                <c:pt idx="24">
                  <c:v>46937060</c:v>
                </c:pt>
                <c:pt idx="25">
                  <c:v>10230185</c:v>
                </c:pt>
                <c:pt idx="26">
                  <c:v>8544527</c:v>
                </c:pt>
                <c:pt idx="27">
                  <c:v>66796807</c:v>
                </c:pt>
                <c:pt idx="28">
                  <c:v>328239523</c:v>
                </c:pt>
              </c:numCache>
            </c:numRef>
          </c:val>
          <c:extLst>
            <c:ext xmlns:c16="http://schemas.microsoft.com/office/drawing/2014/chart" uri="{C3380CC4-5D6E-409C-BE32-E72D297353CC}">
              <c16:uniqueId val="{00000001-85E8-4877-9C54-D8B6688E6299}"/>
            </c:ext>
          </c:extLst>
        </c:ser>
        <c:dLbls>
          <c:showLegendKey val="0"/>
          <c:showVal val="0"/>
          <c:showCatName val="0"/>
          <c:showSerName val="0"/>
          <c:showPercent val="0"/>
          <c:showBubbleSize val="0"/>
        </c:dLbls>
        <c:gapWidth val="182"/>
        <c:axId val="599354383"/>
        <c:axId val="599367823"/>
      </c:barChart>
      <c:catAx>
        <c:axId val="599354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67823"/>
        <c:crosses val="autoZero"/>
        <c:auto val="1"/>
        <c:lblAlgn val="ctr"/>
        <c:lblOffset val="100"/>
        <c:noMultiLvlLbl val="0"/>
      </c:catAx>
      <c:valAx>
        <c:axId val="5993678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354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Sum of Vehicle miles traveled  (in billions), 2019</c:v>
                </c:pt>
              </c:strCache>
            </c:strRef>
          </c:tx>
          <c:spPr>
            <a:solidFill>
              <a:schemeClr val="accent1"/>
            </a:solidFill>
            <a:ln>
              <a:noFill/>
            </a:ln>
            <a:effectLst/>
          </c:spPr>
          <c:invertIfNegative val="0"/>
          <c:cat>
            <c:strRef>
              <c:f>Sheet5!$A$4:$A$32</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Sheet5!$B$4:$B$32</c:f>
              <c:numCache>
                <c:formatCode>General</c:formatCode>
                <c:ptCount val="28"/>
                <c:pt idx="0">
                  <c:v>162.80000000000001</c:v>
                </c:pt>
                <c:pt idx="1">
                  <c:v>52.8</c:v>
                </c:pt>
                <c:pt idx="2">
                  <c:v>279</c:v>
                </c:pt>
                <c:pt idx="3">
                  <c:v>248.3</c:v>
                </c:pt>
                <c:pt idx="4">
                  <c:v>278</c:v>
                </c:pt>
                <c:pt idx="5">
                  <c:v>35.700000000000003</c:v>
                </c:pt>
                <c:pt idx="6">
                  <c:v>34.200000000000003</c:v>
                </c:pt>
                <c:pt idx="7">
                  <c:v>31.3</c:v>
                </c:pt>
                <c:pt idx="8">
                  <c:v>382.4</c:v>
                </c:pt>
                <c:pt idx="9">
                  <c:v>469.1</c:v>
                </c:pt>
                <c:pt idx="10">
                  <c:v>278</c:v>
                </c:pt>
                <c:pt idx="11">
                  <c:v>29.3</c:v>
                </c:pt>
                <c:pt idx="12">
                  <c:v>29.2</c:v>
                </c:pt>
                <c:pt idx="13">
                  <c:v>39.299999999999997</c:v>
                </c:pt>
                <c:pt idx="14">
                  <c:v>279</c:v>
                </c:pt>
                <c:pt idx="15">
                  <c:v>462.7</c:v>
                </c:pt>
                <c:pt idx="16">
                  <c:v>278</c:v>
                </c:pt>
                <c:pt idx="17">
                  <c:v>85.5</c:v>
                </c:pt>
                <c:pt idx="18">
                  <c:v>30.4</c:v>
                </c:pt>
                <c:pt idx="19">
                  <c:v>28.7</c:v>
                </c:pt>
                <c:pt idx="20">
                  <c:v>155.1</c:v>
                </c:pt>
                <c:pt idx="21">
                  <c:v>14</c:v>
                </c:pt>
                <c:pt idx="22">
                  <c:v>204.8</c:v>
                </c:pt>
                <c:pt idx="23">
                  <c:v>278</c:v>
                </c:pt>
                <c:pt idx="24">
                  <c:v>52</c:v>
                </c:pt>
                <c:pt idx="25">
                  <c:v>43.1</c:v>
                </c:pt>
                <c:pt idx="26">
                  <c:v>278</c:v>
                </c:pt>
                <c:pt idx="27">
                  <c:v>3261.8</c:v>
                </c:pt>
              </c:numCache>
            </c:numRef>
          </c:val>
          <c:extLst>
            <c:ext xmlns:c16="http://schemas.microsoft.com/office/drawing/2014/chart" uri="{C3380CC4-5D6E-409C-BE32-E72D297353CC}">
              <c16:uniqueId val="{00000002-3283-43BD-BC56-7328D9ADB60B}"/>
            </c:ext>
          </c:extLst>
        </c:ser>
        <c:ser>
          <c:idx val="1"/>
          <c:order val="1"/>
          <c:tx>
            <c:strRef>
              <c:f>Sheet5!$C$3</c:f>
              <c:strCache>
                <c:ptCount val="1"/>
                <c:pt idx="0">
                  <c:v>Sum of MVC deaths  per 100 million vehicle miles traveled2019</c:v>
                </c:pt>
              </c:strCache>
            </c:strRef>
          </c:tx>
          <c:spPr>
            <a:solidFill>
              <a:schemeClr val="accent2"/>
            </a:solidFill>
            <a:ln>
              <a:noFill/>
            </a:ln>
            <a:effectLst/>
          </c:spPr>
          <c:invertIfNegative val="0"/>
          <c:cat>
            <c:strRef>
              <c:f>Sheet5!$A$4:$A$32</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Sheet5!$C$4:$C$32</c:f>
              <c:numCache>
                <c:formatCode>General</c:formatCode>
                <c:ptCount val="28"/>
                <c:pt idx="0">
                  <c:v>0.73</c:v>
                </c:pt>
                <c:pt idx="1">
                  <c:v>0.79</c:v>
                </c:pt>
                <c:pt idx="2">
                  <c:v>0.9</c:v>
                </c:pt>
                <c:pt idx="3">
                  <c:v>0.71</c:v>
                </c:pt>
                <c:pt idx="4">
                  <c:v>0.9</c:v>
                </c:pt>
                <c:pt idx="5">
                  <c:v>1.73</c:v>
                </c:pt>
                <c:pt idx="6">
                  <c:v>0.57999999999999996</c:v>
                </c:pt>
                <c:pt idx="7">
                  <c:v>0.67</c:v>
                </c:pt>
                <c:pt idx="8">
                  <c:v>0.85</c:v>
                </c:pt>
                <c:pt idx="9">
                  <c:v>0.65</c:v>
                </c:pt>
                <c:pt idx="10">
                  <c:v>0.9</c:v>
                </c:pt>
                <c:pt idx="11">
                  <c:v>2.0499999999999998</c:v>
                </c:pt>
                <c:pt idx="12">
                  <c:v>0.48</c:v>
                </c:pt>
                <c:pt idx="13">
                  <c:v>0.9</c:v>
                </c:pt>
                <c:pt idx="14">
                  <c:v>0.9</c:v>
                </c:pt>
                <c:pt idx="15">
                  <c:v>0.85</c:v>
                </c:pt>
                <c:pt idx="16">
                  <c:v>0.9</c:v>
                </c:pt>
                <c:pt idx="17">
                  <c:v>0.77</c:v>
                </c:pt>
                <c:pt idx="18">
                  <c:v>1.1599999999999999</c:v>
                </c:pt>
                <c:pt idx="19">
                  <c:v>0.38</c:v>
                </c:pt>
                <c:pt idx="20">
                  <c:v>1.88</c:v>
                </c:pt>
                <c:pt idx="21">
                  <c:v>0.73</c:v>
                </c:pt>
                <c:pt idx="22">
                  <c:v>1.64</c:v>
                </c:pt>
                <c:pt idx="23">
                  <c:v>0.9</c:v>
                </c:pt>
                <c:pt idx="24">
                  <c:v>0.42</c:v>
                </c:pt>
                <c:pt idx="25">
                  <c:v>0.43</c:v>
                </c:pt>
                <c:pt idx="26">
                  <c:v>0.9</c:v>
                </c:pt>
                <c:pt idx="27">
                  <c:v>1.1100000000000001</c:v>
                </c:pt>
              </c:numCache>
            </c:numRef>
          </c:val>
          <c:extLst>
            <c:ext xmlns:c16="http://schemas.microsoft.com/office/drawing/2014/chart" uri="{C3380CC4-5D6E-409C-BE32-E72D297353CC}">
              <c16:uniqueId val="{00000003-3283-43BD-BC56-7328D9ADB60B}"/>
            </c:ext>
          </c:extLst>
        </c:ser>
        <c:dLbls>
          <c:showLegendKey val="0"/>
          <c:showVal val="0"/>
          <c:showCatName val="0"/>
          <c:showSerName val="0"/>
          <c:showPercent val="0"/>
          <c:showBubbleSize val="0"/>
        </c:dLbls>
        <c:gapWidth val="219"/>
        <c:overlap val="-27"/>
        <c:axId val="565827247"/>
        <c:axId val="565828687"/>
      </c:barChart>
      <c:catAx>
        <c:axId val="56582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28687"/>
        <c:crosses val="autoZero"/>
        <c:auto val="1"/>
        <c:lblAlgn val="ctr"/>
        <c:lblOffset val="100"/>
        <c:noMultiLvlLbl val="0"/>
      </c:catAx>
      <c:valAx>
        <c:axId val="565828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27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Sheet5!$E$1</c:f>
              <c:strCache>
                <c:ptCount val="1"/>
                <c:pt idx="0">
                  <c:v>Sum of No. of registered vehicles, 2019</c:v>
                </c:pt>
              </c:strCache>
            </c:strRef>
          </c:tx>
          <c:spPr>
            <a:solidFill>
              <a:schemeClr val="accent1"/>
            </a:solidFill>
            <a:ln>
              <a:noFill/>
            </a:ln>
            <a:effectLst/>
          </c:spPr>
          <c:invertIfNegative val="0"/>
          <c:cat>
            <c:strRef>
              <c:f>Sheet5!$D$2:$D$30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Sheet5!$E$2:$E$30</c:f>
              <c:numCache>
                <c:formatCode>General</c:formatCode>
                <c:ptCount val="28"/>
                <c:pt idx="0">
                  <c:v>19505241</c:v>
                </c:pt>
                <c:pt idx="1">
                  <c:v>6895596</c:v>
                </c:pt>
                <c:pt idx="2">
                  <c:v>7614082</c:v>
                </c:pt>
                <c:pt idx="3">
                  <c:v>25422635</c:v>
                </c:pt>
                <c:pt idx="4">
                  <c:v>5599733</c:v>
                </c:pt>
                <c:pt idx="5">
                  <c:v>7643000</c:v>
                </c:pt>
                <c:pt idx="6">
                  <c:v>3290000</c:v>
                </c:pt>
                <c:pt idx="7">
                  <c:v>4878000</c:v>
                </c:pt>
                <c:pt idx="8">
                  <c:v>48298911</c:v>
                </c:pt>
                <c:pt idx="9">
                  <c:v>57305201</c:v>
                </c:pt>
                <c:pt idx="10">
                  <c:v>9822000</c:v>
                </c:pt>
                <c:pt idx="11">
                  <c:v>4625398</c:v>
                </c:pt>
                <c:pt idx="12">
                  <c:v>2805839</c:v>
                </c:pt>
                <c:pt idx="13">
                  <c:v>3600693</c:v>
                </c:pt>
                <c:pt idx="14">
                  <c:v>55026299</c:v>
                </c:pt>
                <c:pt idx="15">
                  <c:v>91457940</c:v>
                </c:pt>
                <c:pt idx="16">
                  <c:v>1719065</c:v>
                </c:pt>
                <c:pt idx="17">
                  <c:v>11553132</c:v>
                </c:pt>
                <c:pt idx="18">
                  <c:v>4403000</c:v>
                </c:pt>
                <c:pt idx="19">
                  <c:v>4049449</c:v>
                </c:pt>
                <c:pt idx="20">
                  <c:v>31989000</c:v>
                </c:pt>
                <c:pt idx="21">
                  <c:v>1515329</c:v>
                </c:pt>
                <c:pt idx="22">
                  <c:v>26990456</c:v>
                </c:pt>
                <c:pt idx="23">
                  <c:v>36343283</c:v>
                </c:pt>
                <c:pt idx="24">
                  <c:v>6363944</c:v>
                </c:pt>
                <c:pt idx="25">
                  <c:v>6371545</c:v>
                </c:pt>
                <c:pt idx="26">
                  <c:v>39890719</c:v>
                </c:pt>
                <c:pt idx="27">
                  <c:v>299267114</c:v>
                </c:pt>
              </c:numCache>
            </c:numRef>
          </c:val>
          <c:extLst>
            <c:ext xmlns:c16="http://schemas.microsoft.com/office/drawing/2014/chart" uri="{C3380CC4-5D6E-409C-BE32-E72D297353CC}">
              <c16:uniqueId val="{00000000-0C67-4FF2-B038-4F8D5FF476D8}"/>
            </c:ext>
          </c:extLst>
        </c:ser>
        <c:ser>
          <c:idx val="1"/>
          <c:order val="1"/>
          <c:tx>
            <c:strRef>
              <c:f>Sheet5!$F$1</c:f>
              <c:strCache>
                <c:ptCount val="1"/>
                <c:pt idx="0">
                  <c:v>Sum of MVC deaths per 10,000 registered vehicles 2019</c:v>
                </c:pt>
              </c:strCache>
            </c:strRef>
          </c:tx>
          <c:spPr>
            <a:solidFill>
              <a:schemeClr val="accent2"/>
            </a:solidFill>
            <a:ln>
              <a:noFill/>
            </a:ln>
            <a:effectLst/>
          </c:spPr>
          <c:invertIfNegative val="0"/>
          <c:cat>
            <c:strRef>
              <c:f>Sheet5!$D$2:$D$30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Sheet5!$F$2:$F$30</c:f>
              <c:numCache>
                <c:formatCode>General</c:formatCode>
                <c:ptCount val="28"/>
                <c:pt idx="0">
                  <c:v>0.61</c:v>
                </c:pt>
                <c:pt idx="1">
                  <c:v>0.6</c:v>
                </c:pt>
                <c:pt idx="2">
                  <c:v>0.85</c:v>
                </c:pt>
                <c:pt idx="3">
                  <c:v>0.69</c:v>
                </c:pt>
                <c:pt idx="4">
                  <c:v>3.52</c:v>
                </c:pt>
                <c:pt idx="5">
                  <c:v>0.81</c:v>
                </c:pt>
                <c:pt idx="6">
                  <c:v>0.6</c:v>
                </c:pt>
                <c:pt idx="7">
                  <c:v>0.43</c:v>
                </c:pt>
                <c:pt idx="8">
                  <c:v>0.67</c:v>
                </c:pt>
                <c:pt idx="9">
                  <c:v>0.53</c:v>
                </c:pt>
                <c:pt idx="10">
                  <c:v>0.7</c:v>
                </c:pt>
                <c:pt idx="11">
                  <c:v>1.3</c:v>
                </c:pt>
                <c:pt idx="12">
                  <c:v>0.5</c:v>
                </c:pt>
                <c:pt idx="13">
                  <c:v>0.99</c:v>
                </c:pt>
                <c:pt idx="14">
                  <c:v>0.57999999999999996</c:v>
                </c:pt>
                <c:pt idx="15">
                  <c:v>0.43</c:v>
                </c:pt>
                <c:pt idx="16">
                  <c:v>1.08</c:v>
                </c:pt>
                <c:pt idx="17">
                  <c:v>0.56999999999999995</c:v>
                </c:pt>
                <c:pt idx="18">
                  <c:v>0.8</c:v>
                </c:pt>
                <c:pt idx="19">
                  <c:v>0.27</c:v>
                </c:pt>
                <c:pt idx="20">
                  <c:v>0.91</c:v>
                </c:pt>
                <c:pt idx="21">
                  <c:v>0.67</c:v>
                </c:pt>
                <c:pt idx="22">
                  <c:v>1.24</c:v>
                </c:pt>
                <c:pt idx="23">
                  <c:v>0.48</c:v>
                </c:pt>
                <c:pt idx="24">
                  <c:v>0.35</c:v>
                </c:pt>
                <c:pt idx="25">
                  <c:v>0.28999999999999998</c:v>
                </c:pt>
                <c:pt idx="26">
                  <c:v>0.45</c:v>
                </c:pt>
                <c:pt idx="27">
                  <c:v>1.21</c:v>
                </c:pt>
              </c:numCache>
            </c:numRef>
          </c:val>
          <c:extLst>
            <c:ext xmlns:c16="http://schemas.microsoft.com/office/drawing/2014/chart" uri="{C3380CC4-5D6E-409C-BE32-E72D297353CC}">
              <c16:uniqueId val="{00000001-0C67-4FF2-B038-4F8D5FF476D8}"/>
            </c:ext>
          </c:extLst>
        </c:ser>
        <c:dLbls>
          <c:showLegendKey val="0"/>
          <c:showVal val="0"/>
          <c:showCatName val="0"/>
          <c:showSerName val="0"/>
          <c:showPercent val="0"/>
          <c:showBubbleSize val="0"/>
        </c:dLbls>
        <c:gapWidth val="219"/>
        <c:overlap val="-27"/>
        <c:axId val="1802303647"/>
        <c:axId val="1802295967"/>
      </c:barChart>
      <c:catAx>
        <c:axId val="1802303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295967"/>
        <c:crosses val="autoZero"/>
        <c:auto val="1"/>
        <c:lblAlgn val="ctr"/>
        <c:lblOffset val="100"/>
        <c:noMultiLvlLbl val="0"/>
      </c:catAx>
      <c:valAx>
        <c:axId val="180229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30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Sheet5!$I$1</c:f>
              <c:strCache>
                <c:ptCount val="1"/>
                <c:pt idx="0">
                  <c:v>Sum of Vehicle miles traveled (in billions), 2015</c:v>
                </c:pt>
              </c:strCache>
            </c:strRef>
          </c:tx>
          <c:spPr>
            <a:solidFill>
              <a:schemeClr val="accent1"/>
            </a:solidFill>
            <a:ln>
              <a:noFill/>
            </a:ln>
            <a:effectLst/>
          </c:spPr>
          <c:invertIfNegative val="0"/>
          <c:cat>
            <c:strRef>
              <c:f>Sheet5!$H$2:$H$30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Sheet5!$I$2:$I$30</c:f>
              <c:numCache>
                <c:formatCode>General</c:formatCode>
                <c:ptCount val="28"/>
                <c:pt idx="0">
                  <c:v>154.4</c:v>
                </c:pt>
                <c:pt idx="1">
                  <c:v>47.9</c:v>
                </c:pt>
                <c:pt idx="2">
                  <c:v>62.3</c:v>
                </c:pt>
                <c:pt idx="3">
                  <c:v>227.3</c:v>
                </c:pt>
                <c:pt idx="4">
                  <c:v>282</c:v>
                </c:pt>
                <c:pt idx="5">
                  <c:v>31.7</c:v>
                </c:pt>
                <c:pt idx="6">
                  <c:v>32.4</c:v>
                </c:pt>
                <c:pt idx="7">
                  <c:v>282</c:v>
                </c:pt>
                <c:pt idx="8">
                  <c:v>375.2</c:v>
                </c:pt>
                <c:pt idx="9">
                  <c:v>282</c:v>
                </c:pt>
                <c:pt idx="10">
                  <c:v>282</c:v>
                </c:pt>
                <c:pt idx="11">
                  <c:v>282</c:v>
                </c:pt>
                <c:pt idx="12">
                  <c:v>28.6</c:v>
                </c:pt>
                <c:pt idx="13">
                  <c:v>34.1</c:v>
                </c:pt>
                <c:pt idx="14">
                  <c:v>282</c:v>
                </c:pt>
                <c:pt idx="15">
                  <c:v>454.2</c:v>
                </c:pt>
                <c:pt idx="16">
                  <c:v>282</c:v>
                </c:pt>
                <c:pt idx="17">
                  <c:v>80.5</c:v>
                </c:pt>
                <c:pt idx="18">
                  <c:v>26.9</c:v>
                </c:pt>
                <c:pt idx="19">
                  <c:v>27.5</c:v>
                </c:pt>
                <c:pt idx="20">
                  <c:v>138</c:v>
                </c:pt>
                <c:pt idx="21">
                  <c:v>282</c:v>
                </c:pt>
                <c:pt idx="22">
                  <c:v>185.4</c:v>
                </c:pt>
                <c:pt idx="23">
                  <c:v>282</c:v>
                </c:pt>
                <c:pt idx="24">
                  <c:v>50.2</c:v>
                </c:pt>
                <c:pt idx="25">
                  <c:v>40.6</c:v>
                </c:pt>
                <c:pt idx="26">
                  <c:v>282</c:v>
                </c:pt>
                <c:pt idx="27">
                  <c:v>3089.8</c:v>
                </c:pt>
              </c:numCache>
            </c:numRef>
          </c:val>
          <c:extLst>
            <c:ext xmlns:c16="http://schemas.microsoft.com/office/drawing/2014/chart" uri="{C3380CC4-5D6E-409C-BE32-E72D297353CC}">
              <c16:uniqueId val="{00000000-0068-48E9-8C2D-A2ADDD5AD99E}"/>
            </c:ext>
          </c:extLst>
        </c:ser>
        <c:ser>
          <c:idx val="1"/>
          <c:order val="1"/>
          <c:tx>
            <c:strRef>
              <c:f>Sheet5!$J$1</c:f>
              <c:strCache>
                <c:ptCount val="1"/>
                <c:pt idx="0">
                  <c:v>Sum of MVC deaths  per 100 million vehicle mile traveled 2015</c:v>
                </c:pt>
              </c:strCache>
            </c:strRef>
          </c:tx>
          <c:spPr>
            <a:solidFill>
              <a:schemeClr val="accent2"/>
            </a:solidFill>
            <a:ln>
              <a:noFill/>
            </a:ln>
            <a:effectLst/>
          </c:spPr>
          <c:invertIfNegative val="0"/>
          <c:cat>
            <c:strRef>
              <c:f>Sheet5!$H$2:$H$30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Sheet5!$J$2:$J$30</c:f>
              <c:numCache>
                <c:formatCode>General</c:formatCode>
                <c:ptCount val="28"/>
                <c:pt idx="0">
                  <c:v>0.78</c:v>
                </c:pt>
                <c:pt idx="1">
                  <c:v>1</c:v>
                </c:pt>
                <c:pt idx="2">
                  <c:v>1.22</c:v>
                </c:pt>
                <c:pt idx="3">
                  <c:v>0.83</c:v>
                </c:pt>
                <c:pt idx="4">
                  <c:v>1.0900000000000001</c:v>
                </c:pt>
                <c:pt idx="5">
                  <c:v>2.3199999999999998</c:v>
                </c:pt>
                <c:pt idx="6">
                  <c:v>0.55000000000000004</c:v>
                </c:pt>
                <c:pt idx="7">
                  <c:v>1.0900000000000001</c:v>
                </c:pt>
                <c:pt idx="8">
                  <c:v>0.92</c:v>
                </c:pt>
                <c:pt idx="9">
                  <c:v>1.0900000000000001</c:v>
                </c:pt>
                <c:pt idx="10">
                  <c:v>1.0900000000000001</c:v>
                </c:pt>
                <c:pt idx="11">
                  <c:v>1.0900000000000001</c:v>
                </c:pt>
                <c:pt idx="12">
                  <c:v>0.56999999999999995</c:v>
                </c:pt>
                <c:pt idx="13">
                  <c:v>1.05</c:v>
                </c:pt>
                <c:pt idx="14">
                  <c:v>1.0900000000000001</c:v>
                </c:pt>
                <c:pt idx="15">
                  <c:v>1.08</c:v>
                </c:pt>
                <c:pt idx="16">
                  <c:v>1.0900000000000001</c:v>
                </c:pt>
                <c:pt idx="17">
                  <c:v>0.77</c:v>
                </c:pt>
                <c:pt idx="18">
                  <c:v>1.18</c:v>
                </c:pt>
                <c:pt idx="19">
                  <c:v>0.43</c:v>
                </c:pt>
                <c:pt idx="20">
                  <c:v>2.13</c:v>
                </c:pt>
                <c:pt idx="21">
                  <c:v>1.0900000000000001</c:v>
                </c:pt>
                <c:pt idx="22">
                  <c:v>2.4900000000000002</c:v>
                </c:pt>
                <c:pt idx="23">
                  <c:v>1.0900000000000001</c:v>
                </c:pt>
                <c:pt idx="24">
                  <c:v>0.52</c:v>
                </c:pt>
                <c:pt idx="25">
                  <c:v>0.62</c:v>
                </c:pt>
                <c:pt idx="26">
                  <c:v>1.0900000000000001</c:v>
                </c:pt>
                <c:pt idx="27">
                  <c:v>1.1499999999999999</c:v>
                </c:pt>
              </c:numCache>
            </c:numRef>
          </c:val>
          <c:extLst>
            <c:ext xmlns:c16="http://schemas.microsoft.com/office/drawing/2014/chart" uri="{C3380CC4-5D6E-409C-BE32-E72D297353CC}">
              <c16:uniqueId val="{00000001-0068-48E9-8C2D-A2ADDD5AD99E}"/>
            </c:ext>
          </c:extLst>
        </c:ser>
        <c:dLbls>
          <c:showLegendKey val="0"/>
          <c:showVal val="0"/>
          <c:showCatName val="0"/>
          <c:showSerName val="0"/>
          <c:showPercent val="0"/>
          <c:showBubbleSize val="0"/>
        </c:dLbls>
        <c:gapWidth val="182"/>
        <c:axId val="565829167"/>
        <c:axId val="415079951"/>
      </c:barChart>
      <c:catAx>
        <c:axId val="565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9951"/>
        <c:crosses val="autoZero"/>
        <c:auto val="1"/>
        <c:lblAlgn val="ctr"/>
        <c:lblOffset val="100"/>
        <c:noMultiLvlLbl val="0"/>
      </c:catAx>
      <c:valAx>
        <c:axId val="4150799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29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Sheet5!$T$1</c:f>
              <c:strCache>
                <c:ptCount val="1"/>
                <c:pt idx="0">
                  <c:v>Sum of MVC deaths per 10,000 registered vehicles 2019</c:v>
                </c:pt>
              </c:strCache>
            </c:strRef>
          </c:tx>
          <c:spPr>
            <a:solidFill>
              <a:schemeClr val="accent1"/>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Sheet5!$T$2:$T$30</c:f>
              <c:numCache>
                <c:formatCode>General</c:formatCode>
                <c:ptCount val="28"/>
                <c:pt idx="0">
                  <c:v>0.61</c:v>
                </c:pt>
                <c:pt idx="1">
                  <c:v>0.6</c:v>
                </c:pt>
                <c:pt idx="2">
                  <c:v>0.85</c:v>
                </c:pt>
                <c:pt idx="3">
                  <c:v>0.69</c:v>
                </c:pt>
                <c:pt idx="4">
                  <c:v>3.52</c:v>
                </c:pt>
                <c:pt idx="5">
                  <c:v>0.81</c:v>
                </c:pt>
                <c:pt idx="6">
                  <c:v>0.6</c:v>
                </c:pt>
                <c:pt idx="7">
                  <c:v>0.43</c:v>
                </c:pt>
                <c:pt idx="8">
                  <c:v>0.67</c:v>
                </c:pt>
                <c:pt idx="9">
                  <c:v>0.53</c:v>
                </c:pt>
                <c:pt idx="10">
                  <c:v>0.7</c:v>
                </c:pt>
                <c:pt idx="11">
                  <c:v>1.3</c:v>
                </c:pt>
                <c:pt idx="12">
                  <c:v>0.5</c:v>
                </c:pt>
                <c:pt idx="13">
                  <c:v>0.99</c:v>
                </c:pt>
                <c:pt idx="14">
                  <c:v>0.57999999999999996</c:v>
                </c:pt>
                <c:pt idx="15">
                  <c:v>0.43</c:v>
                </c:pt>
                <c:pt idx="16">
                  <c:v>1.08</c:v>
                </c:pt>
                <c:pt idx="17">
                  <c:v>0.56999999999999995</c:v>
                </c:pt>
                <c:pt idx="18">
                  <c:v>0.8</c:v>
                </c:pt>
                <c:pt idx="19">
                  <c:v>0.27</c:v>
                </c:pt>
                <c:pt idx="20">
                  <c:v>0.91</c:v>
                </c:pt>
                <c:pt idx="21">
                  <c:v>0.67</c:v>
                </c:pt>
                <c:pt idx="22">
                  <c:v>1.24</c:v>
                </c:pt>
                <c:pt idx="23">
                  <c:v>0.48</c:v>
                </c:pt>
                <c:pt idx="24">
                  <c:v>0.35</c:v>
                </c:pt>
                <c:pt idx="25">
                  <c:v>0.28999999999999998</c:v>
                </c:pt>
                <c:pt idx="26">
                  <c:v>0.45</c:v>
                </c:pt>
                <c:pt idx="27">
                  <c:v>1.21</c:v>
                </c:pt>
              </c:numCache>
            </c:numRef>
          </c:val>
          <c:extLst>
            <c:ext xmlns:c16="http://schemas.microsoft.com/office/drawing/2014/chart" uri="{C3380CC4-5D6E-409C-BE32-E72D297353CC}">
              <c16:uniqueId val="{00000000-4CC3-4BE8-B457-C140C4D730F2}"/>
            </c:ext>
          </c:extLst>
        </c:ser>
        <c:ser>
          <c:idx val="1"/>
          <c:order val="1"/>
          <c:tx>
            <c:strRef>
              <c:f>Sheet5!$U$1</c:f>
              <c:strCache>
                <c:ptCount val="1"/>
                <c:pt idx="0">
                  <c:v>Sum of MVC deaths per 10,000 registered vehicles 2015</c:v>
                </c:pt>
              </c:strCache>
            </c:strRef>
          </c:tx>
          <c:spPr>
            <a:solidFill>
              <a:schemeClr val="accent2"/>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Sheet5!$U$2:$U$30</c:f>
              <c:numCache>
                <c:formatCode>General</c:formatCode>
                <c:ptCount val="28"/>
                <c:pt idx="0">
                  <c:v>0.67</c:v>
                </c:pt>
                <c:pt idx="1">
                  <c:v>0.74</c:v>
                </c:pt>
                <c:pt idx="2">
                  <c:v>1.06</c:v>
                </c:pt>
                <c:pt idx="3">
                  <c:v>0.79</c:v>
                </c:pt>
                <c:pt idx="4">
                  <c:v>0.8</c:v>
                </c:pt>
                <c:pt idx="5">
                  <c:v>1.1299999999999999</c:v>
                </c:pt>
                <c:pt idx="6">
                  <c:v>0.59</c:v>
                </c:pt>
                <c:pt idx="7">
                  <c:v>0.61</c:v>
                </c:pt>
                <c:pt idx="8">
                  <c:v>0.74</c:v>
                </c:pt>
                <c:pt idx="9">
                  <c:v>0.64</c:v>
                </c:pt>
                <c:pt idx="10">
                  <c:v>0.83</c:v>
                </c:pt>
                <c:pt idx="11">
                  <c:v>1.67</c:v>
                </c:pt>
                <c:pt idx="12">
                  <c:v>0.63</c:v>
                </c:pt>
                <c:pt idx="13">
                  <c:v>1.1499999999999999</c:v>
                </c:pt>
                <c:pt idx="14">
                  <c:v>0.66</c:v>
                </c:pt>
                <c:pt idx="15">
                  <c:v>0.53</c:v>
                </c:pt>
                <c:pt idx="16">
                  <c:v>1.54</c:v>
                </c:pt>
                <c:pt idx="17">
                  <c:v>0.57999999999999996</c:v>
                </c:pt>
                <c:pt idx="18">
                  <c:v>0.9</c:v>
                </c:pt>
                <c:pt idx="19">
                  <c:v>0.31</c:v>
                </c:pt>
                <c:pt idx="20">
                  <c:v>1.07</c:v>
                </c:pt>
                <c:pt idx="21">
                  <c:v>0.87</c:v>
                </c:pt>
                <c:pt idx="22">
                  <c:v>1.94</c:v>
                </c:pt>
                <c:pt idx="23">
                  <c:v>0.51</c:v>
                </c:pt>
                <c:pt idx="24">
                  <c:v>0.43</c:v>
                </c:pt>
                <c:pt idx="25">
                  <c:v>0.42</c:v>
                </c:pt>
                <c:pt idx="26">
                  <c:v>0.48</c:v>
                </c:pt>
                <c:pt idx="27">
                  <c:v>1.26</c:v>
                </c:pt>
              </c:numCache>
            </c:numRef>
          </c:val>
          <c:extLst>
            <c:ext xmlns:c16="http://schemas.microsoft.com/office/drawing/2014/chart" uri="{C3380CC4-5D6E-409C-BE32-E72D297353CC}">
              <c16:uniqueId val="{00000001-4CC3-4BE8-B457-C140C4D730F2}"/>
            </c:ext>
          </c:extLst>
        </c:ser>
        <c:ser>
          <c:idx val="2"/>
          <c:order val="2"/>
          <c:tx>
            <c:strRef>
              <c:f>Sheet5!$V$1</c:f>
              <c:strCache>
                <c:ptCount val="1"/>
                <c:pt idx="0">
                  <c:v>Sum of No. of registered vehicles, 2019</c:v>
                </c:pt>
              </c:strCache>
            </c:strRef>
          </c:tx>
          <c:spPr>
            <a:solidFill>
              <a:schemeClr val="accent3"/>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Sheet5!$V$2:$V$30</c:f>
              <c:numCache>
                <c:formatCode>General</c:formatCode>
                <c:ptCount val="28"/>
                <c:pt idx="0">
                  <c:v>19505241</c:v>
                </c:pt>
                <c:pt idx="1">
                  <c:v>6895596</c:v>
                </c:pt>
                <c:pt idx="2">
                  <c:v>7614082</c:v>
                </c:pt>
                <c:pt idx="3">
                  <c:v>25422635</c:v>
                </c:pt>
                <c:pt idx="4">
                  <c:v>5599733</c:v>
                </c:pt>
                <c:pt idx="5">
                  <c:v>7643000</c:v>
                </c:pt>
                <c:pt idx="6">
                  <c:v>3290000</c:v>
                </c:pt>
                <c:pt idx="7">
                  <c:v>4878000</c:v>
                </c:pt>
                <c:pt idx="8">
                  <c:v>48298911</c:v>
                </c:pt>
                <c:pt idx="9">
                  <c:v>57305201</c:v>
                </c:pt>
                <c:pt idx="10">
                  <c:v>9822000</c:v>
                </c:pt>
                <c:pt idx="11">
                  <c:v>4625398</c:v>
                </c:pt>
                <c:pt idx="12">
                  <c:v>2805839</c:v>
                </c:pt>
                <c:pt idx="13">
                  <c:v>3600693</c:v>
                </c:pt>
                <c:pt idx="14">
                  <c:v>55026299</c:v>
                </c:pt>
                <c:pt idx="15">
                  <c:v>91457940</c:v>
                </c:pt>
                <c:pt idx="16">
                  <c:v>1719065</c:v>
                </c:pt>
                <c:pt idx="17">
                  <c:v>11553132</c:v>
                </c:pt>
                <c:pt idx="18">
                  <c:v>4403000</c:v>
                </c:pt>
                <c:pt idx="19">
                  <c:v>4049449</c:v>
                </c:pt>
                <c:pt idx="20">
                  <c:v>31989000</c:v>
                </c:pt>
                <c:pt idx="21">
                  <c:v>1515329</c:v>
                </c:pt>
                <c:pt idx="22">
                  <c:v>26990456</c:v>
                </c:pt>
                <c:pt idx="23">
                  <c:v>36343283</c:v>
                </c:pt>
                <c:pt idx="24">
                  <c:v>6363944</c:v>
                </c:pt>
                <c:pt idx="25">
                  <c:v>6371545</c:v>
                </c:pt>
                <c:pt idx="26">
                  <c:v>39890719</c:v>
                </c:pt>
                <c:pt idx="27">
                  <c:v>299267114</c:v>
                </c:pt>
              </c:numCache>
            </c:numRef>
          </c:val>
          <c:extLst>
            <c:ext xmlns:c16="http://schemas.microsoft.com/office/drawing/2014/chart" uri="{C3380CC4-5D6E-409C-BE32-E72D297353CC}">
              <c16:uniqueId val="{00000002-4CC3-4BE8-B457-C140C4D730F2}"/>
            </c:ext>
          </c:extLst>
        </c:ser>
        <c:ser>
          <c:idx val="3"/>
          <c:order val="3"/>
          <c:tx>
            <c:strRef>
              <c:f>Sheet5!$W$1</c:f>
              <c:strCache>
                <c:ptCount val="1"/>
                <c:pt idx="0">
                  <c:v>Count of No. of registered vehicles, 2015</c:v>
                </c:pt>
              </c:strCache>
            </c:strRef>
          </c:tx>
          <c:spPr>
            <a:solidFill>
              <a:schemeClr val="accent4"/>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Sheet5!$W$2:$W$30</c:f>
              <c:numCache>
                <c:formatCode>General</c:formatCode>
                <c:ptCount val="2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extLst>
            <c:ext xmlns:c16="http://schemas.microsoft.com/office/drawing/2014/chart" uri="{C3380CC4-5D6E-409C-BE32-E72D297353CC}">
              <c16:uniqueId val="{00000003-4CC3-4BE8-B457-C140C4D730F2}"/>
            </c:ext>
          </c:extLst>
        </c:ser>
        <c:ser>
          <c:idx val="4"/>
          <c:order val="4"/>
          <c:tx>
            <c:strRef>
              <c:f>Sheet5!$X$1</c:f>
              <c:strCache>
                <c:ptCount val="1"/>
                <c:pt idx="0">
                  <c:v>Sum of Vehicle miles traveled (in billions), 2015</c:v>
                </c:pt>
              </c:strCache>
            </c:strRef>
          </c:tx>
          <c:spPr>
            <a:solidFill>
              <a:schemeClr val="accent5"/>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Sheet5!$X$2:$X$30</c:f>
              <c:numCache>
                <c:formatCode>General</c:formatCode>
                <c:ptCount val="28"/>
                <c:pt idx="0">
                  <c:v>154.4</c:v>
                </c:pt>
                <c:pt idx="1">
                  <c:v>47.9</c:v>
                </c:pt>
                <c:pt idx="2">
                  <c:v>62.3</c:v>
                </c:pt>
                <c:pt idx="3">
                  <c:v>227.3</c:v>
                </c:pt>
                <c:pt idx="4">
                  <c:v>282</c:v>
                </c:pt>
                <c:pt idx="5">
                  <c:v>31.7</c:v>
                </c:pt>
                <c:pt idx="6">
                  <c:v>32.4</c:v>
                </c:pt>
                <c:pt idx="7">
                  <c:v>282</c:v>
                </c:pt>
                <c:pt idx="8">
                  <c:v>375.2</c:v>
                </c:pt>
                <c:pt idx="9">
                  <c:v>282</c:v>
                </c:pt>
                <c:pt idx="10">
                  <c:v>282</c:v>
                </c:pt>
                <c:pt idx="11">
                  <c:v>282</c:v>
                </c:pt>
                <c:pt idx="12">
                  <c:v>28.6</c:v>
                </c:pt>
                <c:pt idx="13">
                  <c:v>34.1</c:v>
                </c:pt>
                <c:pt idx="14">
                  <c:v>282</c:v>
                </c:pt>
                <c:pt idx="15">
                  <c:v>454.2</c:v>
                </c:pt>
                <c:pt idx="16">
                  <c:v>282</c:v>
                </c:pt>
                <c:pt idx="17">
                  <c:v>80.5</c:v>
                </c:pt>
                <c:pt idx="18">
                  <c:v>26.9</c:v>
                </c:pt>
                <c:pt idx="19">
                  <c:v>27.5</c:v>
                </c:pt>
                <c:pt idx="20">
                  <c:v>138</c:v>
                </c:pt>
                <c:pt idx="21">
                  <c:v>282</c:v>
                </c:pt>
                <c:pt idx="22">
                  <c:v>185.4</c:v>
                </c:pt>
                <c:pt idx="23">
                  <c:v>282</c:v>
                </c:pt>
                <c:pt idx="24">
                  <c:v>50.2</c:v>
                </c:pt>
                <c:pt idx="25">
                  <c:v>40.6</c:v>
                </c:pt>
                <c:pt idx="26">
                  <c:v>282</c:v>
                </c:pt>
                <c:pt idx="27">
                  <c:v>3089.8</c:v>
                </c:pt>
              </c:numCache>
            </c:numRef>
          </c:val>
          <c:extLst>
            <c:ext xmlns:c16="http://schemas.microsoft.com/office/drawing/2014/chart" uri="{C3380CC4-5D6E-409C-BE32-E72D297353CC}">
              <c16:uniqueId val="{00000004-4CC3-4BE8-B457-C140C4D730F2}"/>
            </c:ext>
          </c:extLst>
        </c:ser>
        <c:ser>
          <c:idx val="5"/>
          <c:order val="5"/>
          <c:tx>
            <c:strRef>
              <c:f>Sheet5!$Y$1</c:f>
              <c:strCache>
                <c:ptCount val="1"/>
                <c:pt idx="0">
                  <c:v>Sum of Vehicle miles traveled  (in billions), 2019</c:v>
                </c:pt>
              </c:strCache>
            </c:strRef>
          </c:tx>
          <c:spPr>
            <a:solidFill>
              <a:schemeClr val="accent6"/>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Sheet5!$Y$2:$Y$30</c:f>
              <c:numCache>
                <c:formatCode>General</c:formatCode>
                <c:ptCount val="28"/>
                <c:pt idx="0">
                  <c:v>162.80000000000001</c:v>
                </c:pt>
                <c:pt idx="1">
                  <c:v>52.8</c:v>
                </c:pt>
                <c:pt idx="2">
                  <c:v>279</c:v>
                </c:pt>
                <c:pt idx="3">
                  <c:v>248.3</c:v>
                </c:pt>
                <c:pt idx="4">
                  <c:v>278</c:v>
                </c:pt>
                <c:pt idx="5">
                  <c:v>35.700000000000003</c:v>
                </c:pt>
                <c:pt idx="6">
                  <c:v>34.200000000000003</c:v>
                </c:pt>
                <c:pt idx="7">
                  <c:v>31.3</c:v>
                </c:pt>
                <c:pt idx="8">
                  <c:v>382.4</c:v>
                </c:pt>
                <c:pt idx="9">
                  <c:v>469.1</c:v>
                </c:pt>
                <c:pt idx="10">
                  <c:v>278</c:v>
                </c:pt>
                <c:pt idx="11">
                  <c:v>29.3</c:v>
                </c:pt>
                <c:pt idx="12">
                  <c:v>29.2</c:v>
                </c:pt>
                <c:pt idx="13">
                  <c:v>39.299999999999997</c:v>
                </c:pt>
                <c:pt idx="14">
                  <c:v>279</c:v>
                </c:pt>
                <c:pt idx="15">
                  <c:v>462.7</c:v>
                </c:pt>
                <c:pt idx="16">
                  <c:v>278</c:v>
                </c:pt>
                <c:pt idx="17">
                  <c:v>85.5</c:v>
                </c:pt>
                <c:pt idx="18">
                  <c:v>30.4</c:v>
                </c:pt>
                <c:pt idx="19">
                  <c:v>28.7</c:v>
                </c:pt>
                <c:pt idx="20">
                  <c:v>155.1</c:v>
                </c:pt>
                <c:pt idx="21">
                  <c:v>14</c:v>
                </c:pt>
                <c:pt idx="22">
                  <c:v>204.8</c:v>
                </c:pt>
                <c:pt idx="23">
                  <c:v>278</c:v>
                </c:pt>
                <c:pt idx="24">
                  <c:v>52</c:v>
                </c:pt>
                <c:pt idx="25">
                  <c:v>43.1</c:v>
                </c:pt>
                <c:pt idx="26">
                  <c:v>278</c:v>
                </c:pt>
                <c:pt idx="27">
                  <c:v>3261.8</c:v>
                </c:pt>
              </c:numCache>
            </c:numRef>
          </c:val>
          <c:extLst>
            <c:ext xmlns:c16="http://schemas.microsoft.com/office/drawing/2014/chart" uri="{C3380CC4-5D6E-409C-BE32-E72D297353CC}">
              <c16:uniqueId val="{00000005-4CC3-4BE8-B457-C140C4D730F2}"/>
            </c:ext>
          </c:extLst>
        </c:ser>
        <c:ser>
          <c:idx val="6"/>
          <c:order val="6"/>
          <c:tx>
            <c:strRef>
              <c:f>Sheet5!$Z$1</c:f>
              <c:strCache>
                <c:ptCount val="1"/>
                <c:pt idx="0">
                  <c:v>Sum of MVC deaths  per 100 million vehicle mile traveled 2015</c:v>
                </c:pt>
              </c:strCache>
            </c:strRef>
          </c:tx>
          <c:spPr>
            <a:solidFill>
              <a:schemeClr val="accent1">
                <a:lumMod val="60000"/>
              </a:schemeClr>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Sheet5!$Z$2:$Z$30</c:f>
              <c:numCache>
                <c:formatCode>General</c:formatCode>
                <c:ptCount val="28"/>
                <c:pt idx="0">
                  <c:v>0.78</c:v>
                </c:pt>
                <c:pt idx="1">
                  <c:v>1</c:v>
                </c:pt>
                <c:pt idx="2">
                  <c:v>1.22</c:v>
                </c:pt>
                <c:pt idx="3">
                  <c:v>0.83</c:v>
                </c:pt>
                <c:pt idx="4">
                  <c:v>1.0900000000000001</c:v>
                </c:pt>
                <c:pt idx="5">
                  <c:v>2.3199999999999998</c:v>
                </c:pt>
                <c:pt idx="6">
                  <c:v>0.55000000000000004</c:v>
                </c:pt>
                <c:pt idx="7">
                  <c:v>1.0900000000000001</c:v>
                </c:pt>
                <c:pt idx="8">
                  <c:v>0.92</c:v>
                </c:pt>
                <c:pt idx="9">
                  <c:v>1.0900000000000001</c:v>
                </c:pt>
                <c:pt idx="10">
                  <c:v>1.0900000000000001</c:v>
                </c:pt>
                <c:pt idx="11">
                  <c:v>1.0900000000000001</c:v>
                </c:pt>
                <c:pt idx="12">
                  <c:v>0.56999999999999995</c:v>
                </c:pt>
                <c:pt idx="13">
                  <c:v>1.05</c:v>
                </c:pt>
                <c:pt idx="14">
                  <c:v>1.0900000000000001</c:v>
                </c:pt>
                <c:pt idx="15">
                  <c:v>1.08</c:v>
                </c:pt>
                <c:pt idx="16">
                  <c:v>1.0900000000000001</c:v>
                </c:pt>
                <c:pt idx="17">
                  <c:v>0.77</c:v>
                </c:pt>
                <c:pt idx="18">
                  <c:v>1.18</c:v>
                </c:pt>
                <c:pt idx="19">
                  <c:v>0.43</c:v>
                </c:pt>
                <c:pt idx="20">
                  <c:v>2.13</c:v>
                </c:pt>
                <c:pt idx="21">
                  <c:v>1.0900000000000001</c:v>
                </c:pt>
                <c:pt idx="22">
                  <c:v>2.4900000000000002</c:v>
                </c:pt>
                <c:pt idx="23">
                  <c:v>1.0900000000000001</c:v>
                </c:pt>
                <c:pt idx="24">
                  <c:v>0.52</c:v>
                </c:pt>
                <c:pt idx="25">
                  <c:v>0.62</c:v>
                </c:pt>
                <c:pt idx="26">
                  <c:v>1.0900000000000001</c:v>
                </c:pt>
                <c:pt idx="27">
                  <c:v>1.1499999999999999</c:v>
                </c:pt>
              </c:numCache>
            </c:numRef>
          </c:val>
          <c:extLst>
            <c:ext xmlns:c16="http://schemas.microsoft.com/office/drawing/2014/chart" uri="{C3380CC4-5D6E-409C-BE32-E72D297353CC}">
              <c16:uniqueId val="{00000006-4CC3-4BE8-B457-C140C4D730F2}"/>
            </c:ext>
          </c:extLst>
        </c:ser>
        <c:ser>
          <c:idx val="7"/>
          <c:order val="7"/>
          <c:tx>
            <c:strRef>
              <c:f>Sheet5!$AA$1</c:f>
              <c:strCache>
                <c:ptCount val="1"/>
                <c:pt idx="0">
                  <c:v>Sum of MVC deaths  per 100 million vehicle miles traveled2019</c:v>
                </c:pt>
              </c:strCache>
            </c:strRef>
          </c:tx>
          <c:spPr>
            <a:solidFill>
              <a:schemeClr val="accent2">
                <a:lumMod val="60000"/>
              </a:schemeClr>
            </a:solidFill>
            <a:ln>
              <a:noFill/>
            </a:ln>
            <a:effectLst/>
          </c:spPr>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Sheet5!$AA$2:$AA$30</c:f>
              <c:numCache>
                <c:formatCode>General</c:formatCode>
                <c:ptCount val="28"/>
                <c:pt idx="0">
                  <c:v>0.73</c:v>
                </c:pt>
                <c:pt idx="1">
                  <c:v>0.79</c:v>
                </c:pt>
                <c:pt idx="2">
                  <c:v>0.9</c:v>
                </c:pt>
                <c:pt idx="3">
                  <c:v>0.71</c:v>
                </c:pt>
                <c:pt idx="4">
                  <c:v>0.9</c:v>
                </c:pt>
                <c:pt idx="5">
                  <c:v>1.73</c:v>
                </c:pt>
                <c:pt idx="6">
                  <c:v>0.57999999999999996</c:v>
                </c:pt>
                <c:pt idx="7">
                  <c:v>0.67</c:v>
                </c:pt>
                <c:pt idx="8">
                  <c:v>0.85</c:v>
                </c:pt>
                <c:pt idx="9">
                  <c:v>0.65</c:v>
                </c:pt>
                <c:pt idx="10">
                  <c:v>0.9</c:v>
                </c:pt>
                <c:pt idx="11">
                  <c:v>2.0499999999999998</c:v>
                </c:pt>
                <c:pt idx="12">
                  <c:v>0.48</c:v>
                </c:pt>
                <c:pt idx="13">
                  <c:v>0.9</c:v>
                </c:pt>
                <c:pt idx="14">
                  <c:v>0.9</c:v>
                </c:pt>
                <c:pt idx="15">
                  <c:v>0.85</c:v>
                </c:pt>
                <c:pt idx="16">
                  <c:v>0.9</c:v>
                </c:pt>
                <c:pt idx="17">
                  <c:v>0.77</c:v>
                </c:pt>
                <c:pt idx="18">
                  <c:v>1.1599999999999999</c:v>
                </c:pt>
                <c:pt idx="19">
                  <c:v>0.38</c:v>
                </c:pt>
                <c:pt idx="20">
                  <c:v>1.88</c:v>
                </c:pt>
                <c:pt idx="21">
                  <c:v>0.73</c:v>
                </c:pt>
                <c:pt idx="22">
                  <c:v>1.64</c:v>
                </c:pt>
                <c:pt idx="23">
                  <c:v>0.9</c:v>
                </c:pt>
                <c:pt idx="24">
                  <c:v>0.42</c:v>
                </c:pt>
                <c:pt idx="25">
                  <c:v>0.43</c:v>
                </c:pt>
                <c:pt idx="26">
                  <c:v>0.9</c:v>
                </c:pt>
                <c:pt idx="27">
                  <c:v>1.1100000000000001</c:v>
                </c:pt>
              </c:numCache>
            </c:numRef>
          </c:val>
          <c:extLst>
            <c:ext xmlns:c16="http://schemas.microsoft.com/office/drawing/2014/chart" uri="{C3380CC4-5D6E-409C-BE32-E72D297353CC}">
              <c16:uniqueId val="{00000007-4CC3-4BE8-B457-C140C4D730F2}"/>
            </c:ext>
          </c:extLst>
        </c:ser>
        <c:dLbls>
          <c:showLegendKey val="0"/>
          <c:showVal val="0"/>
          <c:showCatName val="0"/>
          <c:showSerName val="0"/>
          <c:showPercent val="0"/>
          <c:showBubbleSize val="0"/>
        </c:dLbls>
        <c:axId val="415079471"/>
        <c:axId val="415080431"/>
      </c:areaChart>
      <c:catAx>
        <c:axId val="415079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80431"/>
        <c:crosses val="autoZero"/>
        <c:auto val="1"/>
        <c:lblAlgn val="ctr"/>
        <c:lblOffset val="100"/>
        <c:noMultiLvlLbl val="0"/>
      </c:catAx>
      <c:valAx>
        <c:axId val="41508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94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WORK.xlsm]Sheet5!PivotTable16</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Sheet5!$N$1</c:f>
              <c:strCache>
                <c:ptCount val="1"/>
                <c:pt idx="0">
                  <c:v>Sum of MVC deaths per 10,000 registered vehicles 2015</c:v>
                </c:pt>
              </c:strCache>
            </c:strRef>
          </c:tx>
          <c:spPr>
            <a:solidFill>
              <a:schemeClr val="accent1"/>
            </a:solidFill>
            <a:ln>
              <a:noFill/>
            </a:ln>
            <a:effectLst/>
          </c:spPr>
          <c:invertIfNegative val="0"/>
          <c:cat>
            <c:strRef>
              <c:f>Sheet5!$M$2:$M$30</c:f>
              <c:strCache>
                <c:ptCount val="28"/>
                <c:pt idx="0">
                  <c:v>United States</c:v>
                </c:pt>
                <c:pt idx="1">
                  <c:v>United Kingdom</c:v>
                </c:pt>
                <c:pt idx="2">
                  <c:v>Switzerland</c:v>
                </c:pt>
                <c:pt idx="3">
                  <c:v>Sweden</c:v>
                </c:pt>
                <c:pt idx="4">
                  <c:v>Spain</c:v>
                </c:pt>
                <c:pt idx="5">
                  <c:v>South Korea</c:v>
                </c:pt>
                <c:pt idx="6">
                  <c:v>Slovenia†††</c:v>
                </c:pt>
                <c:pt idx="7">
                  <c:v>Poland</c:v>
                </c:pt>
                <c:pt idx="8">
                  <c:v>Norway</c:v>
                </c:pt>
                <c:pt idx="9">
                  <c:v>New Zealand</c:v>
                </c:pt>
                <c:pt idx="10">
                  <c:v>Netherlands</c:v>
                </c:pt>
                <c:pt idx="11">
                  <c:v>Lithuania</c:v>
                </c:pt>
                <c:pt idx="12">
                  <c:v>Japan</c:v>
                </c:pt>
                <c:pt idx="13">
                  <c:v>Italy</c:v>
                </c:pt>
                <c:pt idx="14">
                  <c:v>Israel</c:v>
                </c:pt>
                <c:pt idx="15">
                  <c:v>Ireland</c:v>
                </c:pt>
                <c:pt idx="16">
                  <c:v>Hungary</c:v>
                </c:pt>
                <c:pt idx="17">
                  <c:v>Greece</c:v>
                </c:pt>
                <c:pt idx="18">
                  <c:v>Germany†††</c:v>
                </c:pt>
                <c:pt idx="19">
                  <c:v>France</c:v>
                </c:pt>
                <c:pt idx="20">
                  <c:v>Finland†††</c:v>
                </c:pt>
                <c:pt idx="21">
                  <c:v>Denmark</c:v>
                </c:pt>
                <c:pt idx="22">
                  <c:v>Czechia</c:v>
                </c:pt>
                <c:pt idx="23">
                  <c:v>Chile***</c:v>
                </c:pt>
                <c:pt idx="24">
                  <c:v>Canada</c:v>
                </c:pt>
                <c:pt idx="25">
                  <c:v>Belgium</c:v>
                </c:pt>
                <c:pt idx="26">
                  <c:v>Austria</c:v>
                </c:pt>
                <c:pt idx="27">
                  <c:v>Australia</c:v>
                </c:pt>
              </c:strCache>
            </c:strRef>
          </c:cat>
          <c:val>
            <c:numRef>
              <c:f>Sheet5!$N$2:$N$30</c:f>
              <c:numCache>
                <c:formatCode>General</c:formatCode>
                <c:ptCount val="28"/>
                <c:pt idx="0">
                  <c:v>1.26</c:v>
                </c:pt>
                <c:pt idx="1">
                  <c:v>0.48</c:v>
                </c:pt>
                <c:pt idx="2">
                  <c:v>0.42</c:v>
                </c:pt>
                <c:pt idx="3">
                  <c:v>0.43</c:v>
                </c:pt>
                <c:pt idx="4">
                  <c:v>0.51</c:v>
                </c:pt>
                <c:pt idx="5">
                  <c:v>1.94</c:v>
                </c:pt>
                <c:pt idx="6">
                  <c:v>0.87</c:v>
                </c:pt>
                <c:pt idx="7">
                  <c:v>1.07</c:v>
                </c:pt>
                <c:pt idx="8">
                  <c:v>0.31</c:v>
                </c:pt>
                <c:pt idx="9">
                  <c:v>0.9</c:v>
                </c:pt>
                <c:pt idx="10">
                  <c:v>0.57999999999999996</c:v>
                </c:pt>
                <c:pt idx="11">
                  <c:v>1.54</c:v>
                </c:pt>
                <c:pt idx="12">
                  <c:v>0.53</c:v>
                </c:pt>
                <c:pt idx="13">
                  <c:v>0.66</c:v>
                </c:pt>
                <c:pt idx="14">
                  <c:v>1.1499999999999999</c:v>
                </c:pt>
                <c:pt idx="15">
                  <c:v>0.63</c:v>
                </c:pt>
                <c:pt idx="16">
                  <c:v>1.67</c:v>
                </c:pt>
                <c:pt idx="17">
                  <c:v>0.83</c:v>
                </c:pt>
                <c:pt idx="18">
                  <c:v>0.64</c:v>
                </c:pt>
                <c:pt idx="19">
                  <c:v>0.74</c:v>
                </c:pt>
                <c:pt idx="20">
                  <c:v>0.61</c:v>
                </c:pt>
                <c:pt idx="21">
                  <c:v>0.59</c:v>
                </c:pt>
                <c:pt idx="22">
                  <c:v>1.1299999999999999</c:v>
                </c:pt>
                <c:pt idx="23">
                  <c:v>0.8</c:v>
                </c:pt>
                <c:pt idx="24">
                  <c:v>0.79</c:v>
                </c:pt>
                <c:pt idx="25">
                  <c:v>1.06</c:v>
                </c:pt>
                <c:pt idx="26">
                  <c:v>0.74</c:v>
                </c:pt>
                <c:pt idx="27">
                  <c:v>0.67</c:v>
                </c:pt>
              </c:numCache>
            </c:numRef>
          </c:val>
          <c:extLst>
            <c:ext xmlns:c16="http://schemas.microsoft.com/office/drawing/2014/chart" uri="{C3380CC4-5D6E-409C-BE32-E72D297353CC}">
              <c16:uniqueId val="{00000000-3079-4EDC-94A5-C42CD2B9C25B}"/>
            </c:ext>
          </c:extLst>
        </c:ser>
        <c:ser>
          <c:idx val="1"/>
          <c:order val="1"/>
          <c:tx>
            <c:strRef>
              <c:f>Sheet5!$O$1</c:f>
              <c:strCache>
                <c:ptCount val="1"/>
                <c:pt idx="0">
                  <c:v>Count of No. of registered vehicles, 2015</c:v>
                </c:pt>
              </c:strCache>
            </c:strRef>
          </c:tx>
          <c:spPr>
            <a:solidFill>
              <a:schemeClr val="accent2"/>
            </a:solidFill>
            <a:ln>
              <a:noFill/>
            </a:ln>
            <a:effectLst/>
          </c:spPr>
          <c:invertIfNegative val="0"/>
          <c:cat>
            <c:strRef>
              <c:f>Sheet5!$M$2:$M$30</c:f>
              <c:strCache>
                <c:ptCount val="28"/>
                <c:pt idx="0">
                  <c:v>United States</c:v>
                </c:pt>
                <c:pt idx="1">
                  <c:v>United Kingdom</c:v>
                </c:pt>
                <c:pt idx="2">
                  <c:v>Switzerland</c:v>
                </c:pt>
                <c:pt idx="3">
                  <c:v>Sweden</c:v>
                </c:pt>
                <c:pt idx="4">
                  <c:v>Spain</c:v>
                </c:pt>
                <c:pt idx="5">
                  <c:v>South Korea</c:v>
                </c:pt>
                <c:pt idx="6">
                  <c:v>Slovenia†††</c:v>
                </c:pt>
                <c:pt idx="7">
                  <c:v>Poland</c:v>
                </c:pt>
                <c:pt idx="8">
                  <c:v>Norway</c:v>
                </c:pt>
                <c:pt idx="9">
                  <c:v>New Zealand</c:v>
                </c:pt>
                <c:pt idx="10">
                  <c:v>Netherlands</c:v>
                </c:pt>
                <c:pt idx="11">
                  <c:v>Lithuania</c:v>
                </c:pt>
                <c:pt idx="12">
                  <c:v>Japan</c:v>
                </c:pt>
                <c:pt idx="13">
                  <c:v>Italy</c:v>
                </c:pt>
                <c:pt idx="14">
                  <c:v>Israel</c:v>
                </c:pt>
                <c:pt idx="15">
                  <c:v>Ireland</c:v>
                </c:pt>
                <c:pt idx="16">
                  <c:v>Hungary</c:v>
                </c:pt>
                <c:pt idx="17">
                  <c:v>Greece</c:v>
                </c:pt>
                <c:pt idx="18">
                  <c:v>Germany†††</c:v>
                </c:pt>
                <c:pt idx="19">
                  <c:v>France</c:v>
                </c:pt>
                <c:pt idx="20">
                  <c:v>Finland†††</c:v>
                </c:pt>
                <c:pt idx="21">
                  <c:v>Denmark</c:v>
                </c:pt>
                <c:pt idx="22">
                  <c:v>Czechia</c:v>
                </c:pt>
                <c:pt idx="23">
                  <c:v>Chile***</c:v>
                </c:pt>
                <c:pt idx="24">
                  <c:v>Canada</c:v>
                </c:pt>
                <c:pt idx="25">
                  <c:v>Belgium</c:v>
                </c:pt>
                <c:pt idx="26">
                  <c:v>Austria</c:v>
                </c:pt>
                <c:pt idx="27">
                  <c:v>Australia</c:v>
                </c:pt>
              </c:strCache>
            </c:strRef>
          </c:cat>
          <c:val>
            <c:numRef>
              <c:f>Sheet5!$O$2:$O$30</c:f>
              <c:numCache>
                <c:formatCode>General</c:formatCode>
                <c:ptCount val="2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extLst>
            <c:ext xmlns:c16="http://schemas.microsoft.com/office/drawing/2014/chart" uri="{C3380CC4-5D6E-409C-BE32-E72D297353CC}">
              <c16:uniqueId val="{00000001-3079-4EDC-94A5-C42CD2B9C25B}"/>
            </c:ext>
          </c:extLst>
        </c:ser>
        <c:dLbls>
          <c:showLegendKey val="0"/>
          <c:showVal val="0"/>
          <c:showCatName val="0"/>
          <c:showSerName val="0"/>
          <c:showPercent val="0"/>
          <c:showBubbleSize val="0"/>
        </c:dLbls>
        <c:gapWidth val="219"/>
        <c:overlap val="-27"/>
        <c:axId val="1697214815"/>
        <c:axId val="1697215775"/>
      </c:barChart>
      <c:catAx>
        <c:axId val="1697214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215775"/>
        <c:crosses val="autoZero"/>
        <c:auto val="1"/>
        <c:lblAlgn val="ctr"/>
        <c:lblOffset val="100"/>
        <c:noMultiLvlLbl val="0"/>
      </c:catAx>
      <c:valAx>
        <c:axId val="1697215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214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Sum of Vehicle miles traveled  (in billions), 2019</c:v>
                </c:pt>
              </c:strCache>
            </c:strRef>
          </c:tx>
          <c:spPr>
            <a:solidFill>
              <a:schemeClr val="accent1"/>
            </a:solidFill>
            <a:ln>
              <a:noFill/>
            </a:ln>
            <a:effectLst/>
          </c:spPr>
          <c:invertIfNegative val="0"/>
          <c:cat>
            <c:strRef>
              <c:f>Sheet5!$A$4:$A$32</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Sheet5!$B$4:$B$32</c:f>
              <c:numCache>
                <c:formatCode>General</c:formatCode>
                <c:ptCount val="28"/>
                <c:pt idx="0">
                  <c:v>162.80000000000001</c:v>
                </c:pt>
                <c:pt idx="1">
                  <c:v>52.8</c:v>
                </c:pt>
                <c:pt idx="2">
                  <c:v>279</c:v>
                </c:pt>
                <c:pt idx="3">
                  <c:v>248.3</c:v>
                </c:pt>
                <c:pt idx="4">
                  <c:v>278</c:v>
                </c:pt>
                <c:pt idx="5">
                  <c:v>35.700000000000003</c:v>
                </c:pt>
                <c:pt idx="6">
                  <c:v>34.200000000000003</c:v>
                </c:pt>
                <c:pt idx="7">
                  <c:v>31.3</c:v>
                </c:pt>
                <c:pt idx="8">
                  <c:v>382.4</c:v>
                </c:pt>
                <c:pt idx="9">
                  <c:v>469.1</c:v>
                </c:pt>
                <c:pt idx="10">
                  <c:v>278</c:v>
                </c:pt>
                <c:pt idx="11">
                  <c:v>29.3</c:v>
                </c:pt>
                <c:pt idx="12">
                  <c:v>29.2</c:v>
                </c:pt>
                <c:pt idx="13">
                  <c:v>39.299999999999997</c:v>
                </c:pt>
                <c:pt idx="14">
                  <c:v>279</c:v>
                </c:pt>
                <c:pt idx="15">
                  <c:v>462.7</c:v>
                </c:pt>
                <c:pt idx="16">
                  <c:v>278</c:v>
                </c:pt>
                <c:pt idx="17">
                  <c:v>85.5</c:v>
                </c:pt>
                <c:pt idx="18">
                  <c:v>30.4</c:v>
                </c:pt>
                <c:pt idx="19">
                  <c:v>28.7</c:v>
                </c:pt>
                <c:pt idx="20">
                  <c:v>155.1</c:v>
                </c:pt>
                <c:pt idx="21">
                  <c:v>14</c:v>
                </c:pt>
                <c:pt idx="22">
                  <c:v>204.8</c:v>
                </c:pt>
                <c:pt idx="23">
                  <c:v>278</c:v>
                </c:pt>
                <c:pt idx="24">
                  <c:v>52</c:v>
                </c:pt>
                <c:pt idx="25">
                  <c:v>43.1</c:v>
                </c:pt>
                <c:pt idx="26">
                  <c:v>278</c:v>
                </c:pt>
                <c:pt idx="27">
                  <c:v>3261.8</c:v>
                </c:pt>
              </c:numCache>
            </c:numRef>
          </c:val>
          <c:extLst>
            <c:ext xmlns:c16="http://schemas.microsoft.com/office/drawing/2014/chart" uri="{C3380CC4-5D6E-409C-BE32-E72D297353CC}">
              <c16:uniqueId val="{00000000-45AA-4608-A223-084DAB57F4DD}"/>
            </c:ext>
          </c:extLst>
        </c:ser>
        <c:ser>
          <c:idx val="1"/>
          <c:order val="1"/>
          <c:tx>
            <c:strRef>
              <c:f>Sheet5!$C$3</c:f>
              <c:strCache>
                <c:ptCount val="1"/>
                <c:pt idx="0">
                  <c:v>Sum of MVC deaths  per 100 million vehicle miles traveled2019</c:v>
                </c:pt>
              </c:strCache>
            </c:strRef>
          </c:tx>
          <c:spPr>
            <a:solidFill>
              <a:schemeClr val="accent2"/>
            </a:solidFill>
            <a:ln>
              <a:noFill/>
            </a:ln>
            <a:effectLst/>
          </c:spPr>
          <c:invertIfNegative val="0"/>
          <c:cat>
            <c:strRef>
              <c:f>Sheet5!$A$4:$A$32</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Sheet5!$C$4:$C$32</c:f>
              <c:numCache>
                <c:formatCode>General</c:formatCode>
                <c:ptCount val="28"/>
                <c:pt idx="0">
                  <c:v>0.73</c:v>
                </c:pt>
                <c:pt idx="1">
                  <c:v>0.79</c:v>
                </c:pt>
                <c:pt idx="2">
                  <c:v>0.9</c:v>
                </c:pt>
                <c:pt idx="3">
                  <c:v>0.71</c:v>
                </c:pt>
                <c:pt idx="4">
                  <c:v>0.9</c:v>
                </c:pt>
                <c:pt idx="5">
                  <c:v>1.73</c:v>
                </c:pt>
                <c:pt idx="6">
                  <c:v>0.57999999999999996</c:v>
                </c:pt>
                <c:pt idx="7">
                  <c:v>0.67</c:v>
                </c:pt>
                <c:pt idx="8">
                  <c:v>0.85</c:v>
                </c:pt>
                <c:pt idx="9">
                  <c:v>0.65</c:v>
                </c:pt>
                <c:pt idx="10">
                  <c:v>0.9</c:v>
                </c:pt>
                <c:pt idx="11">
                  <c:v>2.0499999999999998</c:v>
                </c:pt>
                <c:pt idx="12">
                  <c:v>0.48</c:v>
                </c:pt>
                <c:pt idx="13">
                  <c:v>0.9</c:v>
                </c:pt>
                <c:pt idx="14">
                  <c:v>0.9</c:v>
                </c:pt>
                <c:pt idx="15">
                  <c:v>0.85</c:v>
                </c:pt>
                <c:pt idx="16">
                  <c:v>0.9</c:v>
                </c:pt>
                <c:pt idx="17">
                  <c:v>0.77</c:v>
                </c:pt>
                <c:pt idx="18">
                  <c:v>1.1599999999999999</c:v>
                </c:pt>
                <c:pt idx="19">
                  <c:v>0.38</c:v>
                </c:pt>
                <c:pt idx="20">
                  <c:v>1.88</c:v>
                </c:pt>
                <c:pt idx="21">
                  <c:v>0.73</c:v>
                </c:pt>
                <c:pt idx="22">
                  <c:v>1.64</c:v>
                </c:pt>
                <c:pt idx="23">
                  <c:v>0.9</c:v>
                </c:pt>
                <c:pt idx="24">
                  <c:v>0.42</c:v>
                </c:pt>
                <c:pt idx="25">
                  <c:v>0.43</c:v>
                </c:pt>
                <c:pt idx="26">
                  <c:v>0.9</c:v>
                </c:pt>
                <c:pt idx="27">
                  <c:v>1.1100000000000001</c:v>
                </c:pt>
              </c:numCache>
            </c:numRef>
          </c:val>
          <c:extLst>
            <c:ext xmlns:c16="http://schemas.microsoft.com/office/drawing/2014/chart" uri="{C3380CC4-5D6E-409C-BE32-E72D297353CC}">
              <c16:uniqueId val="{00000001-45AA-4608-A223-084DAB57F4DD}"/>
            </c:ext>
          </c:extLst>
        </c:ser>
        <c:dLbls>
          <c:showLegendKey val="0"/>
          <c:showVal val="0"/>
          <c:showCatName val="0"/>
          <c:showSerName val="0"/>
          <c:showPercent val="0"/>
          <c:showBubbleSize val="0"/>
        </c:dLbls>
        <c:gapWidth val="219"/>
        <c:overlap val="-27"/>
        <c:axId val="565827247"/>
        <c:axId val="565828687"/>
      </c:barChart>
      <c:catAx>
        <c:axId val="56582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28687"/>
        <c:crosses val="autoZero"/>
        <c:auto val="1"/>
        <c:lblAlgn val="ctr"/>
        <c:lblOffset val="100"/>
        <c:noMultiLvlLbl val="0"/>
      </c:catAx>
      <c:valAx>
        <c:axId val="565828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27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accent1">
          <a:shade val="50000"/>
          <a:alpha val="9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Sheet5!$E$1</c:f>
              <c:strCache>
                <c:ptCount val="1"/>
                <c:pt idx="0">
                  <c:v>Sum of No. of registered vehicles, 2019</c:v>
                </c:pt>
              </c:strCache>
            </c:strRef>
          </c:tx>
          <c:spPr>
            <a:solidFill>
              <a:schemeClr val="accent1"/>
            </a:solidFill>
            <a:ln>
              <a:noFill/>
            </a:ln>
            <a:effectLst/>
          </c:spPr>
          <c:invertIfNegative val="0"/>
          <c:cat>
            <c:strRef>
              <c:f>Sheet5!$D$2:$D$30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Sheet5!$E$2:$E$30</c:f>
              <c:numCache>
                <c:formatCode>General</c:formatCode>
                <c:ptCount val="28"/>
                <c:pt idx="0">
                  <c:v>19505241</c:v>
                </c:pt>
                <c:pt idx="1">
                  <c:v>6895596</c:v>
                </c:pt>
                <c:pt idx="2">
                  <c:v>7614082</c:v>
                </c:pt>
                <c:pt idx="3">
                  <c:v>25422635</c:v>
                </c:pt>
                <c:pt idx="4">
                  <c:v>5599733</c:v>
                </c:pt>
                <c:pt idx="5">
                  <c:v>7643000</c:v>
                </c:pt>
                <c:pt idx="6">
                  <c:v>3290000</c:v>
                </c:pt>
                <c:pt idx="7">
                  <c:v>4878000</c:v>
                </c:pt>
                <c:pt idx="8">
                  <c:v>48298911</c:v>
                </c:pt>
                <c:pt idx="9">
                  <c:v>57305201</c:v>
                </c:pt>
                <c:pt idx="10">
                  <c:v>9822000</c:v>
                </c:pt>
                <c:pt idx="11">
                  <c:v>4625398</c:v>
                </c:pt>
                <c:pt idx="12">
                  <c:v>2805839</c:v>
                </c:pt>
                <c:pt idx="13">
                  <c:v>3600693</c:v>
                </c:pt>
                <c:pt idx="14">
                  <c:v>55026299</c:v>
                </c:pt>
                <c:pt idx="15">
                  <c:v>91457940</c:v>
                </c:pt>
                <c:pt idx="16">
                  <c:v>1719065</c:v>
                </c:pt>
                <c:pt idx="17">
                  <c:v>11553132</c:v>
                </c:pt>
                <c:pt idx="18">
                  <c:v>4403000</c:v>
                </c:pt>
                <c:pt idx="19">
                  <c:v>4049449</c:v>
                </c:pt>
                <c:pt idx="20">
                  <c:v>31989000</c:v>
                </c:pt>
                <c:pt idx="21">
                  <c:v>1515329</c:v>
                </c:pt>
                <c:pt idx="22">
                  <c:v>26990456</c:v>
                </c:pt>
                <c:pt idx="23">
                  <c:v>36343283</c:v>
                </c:pt>
                <c:pt idx="24">
                  <c:v>6363944</c:v>
                </c:pt>
                <c:pt idx="25">
                  <c:v>6371545</c:v>
                </c:pt>
                <c:pt idx="26">
                  <c:v>39890719</c:v>
                </c:pt>
                <c:pt idx="27">
                  <c:v>299267114</c:v>
                </c:pt>
              </c:numCache>
            </c:numRef>
          </c:val>
          <c:extLst>
            <c:ext xmlns:c16="http://schemas.microsoft.com/office/drawing/2014/chart" uri="{C3380CC4-5D6E-409C-BE32-E72D297353CC}">
              <c16:uniqueId val="{00000000-B669-44A2-B0F8-E5991129D74E}"/>
            </c:ext>
          </c:extLst>
        </c:ser>
        <c:ser>
          <c:idx val="1"/>
          <c:order val="1"/>
          <c:tx>
            <c:strRef>
              <c:f>Sheet5!$F$1</c:f>
              <c:strCache>
                <c:ptCount val="1"/>
                <c:pt idx="0">
                  <c:v>Sum of MVC deaths per 10,000 registered vehicles 2019</c:v>
                </c:pt>
              </c:strCache>
            </c:strRef>
          </c:tx>
          <c:spPr>
            <a:solidFill>
              <a:schemeClr val="accent2"/>
            </a:solidFill>
            <a:ln>
              <a:noFill/>
            </a:ln>
            <a:effectLst/>
          </c:spPr>
          <c:invertIfNegative val="0"/>
          <c:cat>
            <c:strRef>
              <c:f>Sheet5!$D$2:$D$30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Sheet5!$F$2:$F$30</c:f>
              <c:numCache>
                <c:formatCode>General</c:formatCode>
                <c:ptCount val="28"/>
                <c:pt idx="0">
                  <c:v>0.61</c:v>
                </c:pt>
                <c:pt idx="1">
                  <c:v>0.6</c:v>
                </c:pt>
                <c:pt idx="2">
                  <c:v>0.85</c:v>
                </c:pt>
                <c:pt idx="3">
                  <c:v>0.69</c:v>
                </c:pt>
                <c:pt idx="4">
                  <c:v>3.52</c:v>
                </c:pt>
                <c:pt idx="5">
                  <c:v>0.81</c:v>
                </c:pt>
                <c:pt idx="6">
                  <c:v>0.6</c:v>
                </c:pt>
                <c:pt idx="7">
                  <c:v>0.43</c:v>
                </c:pt>
                <c:pt idx="8">
                  <c:v>0.67</c:v>
                </c:pt>
                <c:pt idx="9">
                  <c:v>0.53</c:v>
                </c:pt>
                <c:pt idx="10">
                  <c:v>0.7</c:v>
                </c:pt>
                <c:pt idx="11">
                  <c:v>1.3</c:v>
                </c:pt>
                <c:pt idx="12">
                  <c:v>0.5</c:v>
                </c:pt>
                <c:pt idx="13">
                  <c:v>0.99</c:v>
                </c:pt>
                <c:pt idx="14">
                  <c:v>0.57999999999999996</c:v>
                </c:pt>
                <c:pt idx="15">
                  <c:v>0.43</c:v>
                </c:pt>
                <c:pt idx="16">
                  <c:v>1.08</c:v>
                </c:pt>
                <c:pt idx="17">
                  <c:v>0.56999999999999995</c:v>
                </c:pt>
                <c:pt idx="18">
                  <c:v>0.8</c:v>
                </c:pt>
                <c:pt idx="19">
                  <c:v>0.27</c:v>
                </c:pt>
                <c:pt idx="20">
                  <c:v>0.91</c:v>
                </c:pt>
                <c:pt idx="21">
                  <c:v>0.67</c:v>
                </c:pt>
                <c:pt idx="22">
                  <c:v>1.24</c:v>
                </c:pt>
                <c:pt idx="23">
                  <c:v>0.48</c:v>
                </c:pt>
                <c:pt idx="24">
                  <c:v>0.35</c:v>
                </c:pt>
                <c:pt idx="25">
                  <c:v>0.28999999999999998</c:v>
                </c:pt>
                <c:pt idx="26">
                  <c:v>0.45</c:v>
                </c:pt>
                <c:pt idx="27">
                  <c:v>1.21</c:v>
                </c:pt>
              </c:numCache>
            </c:numRef>
          </c:val>
          <c:extLst>
            <c:ext xmlns:c16="http://schemas.microsoft.com/office/drawing/2014/chart" uri="{C3380CC4-5D6E-409C-BE32-E72D297353CC}">
              <c16:uniqueId val="{00000001-B669-44A2-B0F8-E5991129D74E}"/>
            </c:ext>
          </c:extLst>
        </c:ser>
        <c:dLbls>
          <c:showLegendKey val="0"/>
          <c:showVal val="0"/>
          <c:showCatName val="0"/>
          <c:showSerName val="0"/>
          <c:showPercent val="0"/>
          <c:showBubbleSize val="0"/>
        </c:dLbls>
        <c:gapWidth val="219"/>
        <c:overlap val="-27"/>
        <c:axId val="1802303647"/>
        <c:axId val="1802295967"/>
      </c:barChart>
      <c:catAx>
        <c:axId val="1802303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295967"/>
        <c:crosses val="autoZero"/>
        <c:auto val="1"/>
        <c:lblAlgn val="ctr"/>
        <c:lblOffset val="100"/>
        <c:noMultiLvlLbl val="0"/>
      </c:catAx>
      <c:valAx>
        <c:axId val="180229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30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accent1"/>
      </a:solidFill>
      <a:round/>
    </a:ln>
    <a:effectLst>
      <a:outerShdw blurRad="50800" dist="50800" dir="5400000" algn="ctr" rotWithShape="0">
        <a:schemeClr val="accent1">
          <a:lumMod val="75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WORK.xlsm]Sheet5!PivotTable16</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Sheet5!$N$1</c:f>
              <c:strCache>
                <c:ptCount val="1"/>
                <c:pt idx="0">
                  <c:v>Sum of MVC deaths per 10,000 registered vehicles 2015</c:v>
                </c:pt>
              </c:strCache>
            </c:strRef>
          </c:tx>
          <c:spPr>
            <a:solidFill>
              <a:schemeClr val="accent1"/>
            </a:solidFill>
            <a:ln>
              <a:noFill/>
            </a:ln>
            <a:effectLst/>
          </c:spPr>
          <c:invertIfNegative val="0"/>
          <c:cat>
            <c:strRef>
              <c:f>Sheet5!$M$2:$M$30</c:f>
              <c:strCache>
                <c:ptCount val="28"/>
                <c:pt idx="0">
                  <c:v>United States</c:v>
                </c:pt>
                <c:pt idx="1">
                  <c:v>United Kingdom</c:v>
                </c:pt>
                <c:pt idx="2">
                  <c:v>Switzerland</c:v>
                </c:pt>
                <c:pt idx="3">
                  <c:v>Sweden</c:v>
                </c:pt>
                <c:pt idx="4">
                  <c:v>Spain</c:v>
                </c:pt>
                <c:pt idx="5">
                  <c:v>South Korea</c:v>
                </c:pt>
                <c:pt idx="6">
                  <c:v>Slovenia†††</c:v>
                </c:pt>
                <c:pt idx="7">
                  <c:v>Poland</c:v>
                </c:pt>
                <c:pt idx="8">
                  <c:v>Norway</c:v>
                </c:pt>
                <c:pt idx="9">
                  <c:v>New Zealand</c:v>
                </c:pt>
                <c:pt idx="10">
                  <c:v>Netherlands</c:v>
                </c:pt>
                <c:pt idx="11">
                  <c:v>Lithuania</c:v>
                </c:pt>
                <c:pt idx="12">
                  <c:v>Japan</c:v>
                </c:pt>
                <c:pt idx="13">
                  <c:v>Italy</c:v>
                </c:pt>
                <c:pt idx="14">
                  <c:v>Israel</c:v>
                </c:pt>
                <c:pt idx="15">
                  <c:v>Ireland</c:v>
                </c:pt>
                <c:pt idx="16">
                  <c:v>Hungary</c:v>
                </c:pt>
                <c:pt idx="17">
                  <c:v>Greece</c:v>
                </c:pt>
                <c:pt idx="18">
                  <c:v>Germany†††</c:v>
                </c:pt>
                <c:pt idx="19">
                  <c:v>France</c:v>
                </c:pt>
                <c:pt idx="20">
                  <c:v>Finland†††</c:v>
                </c:pt>
                <c:pt idx="21">
                  <c:v>Denmark</c:v>
                </c:pt>
                <c:pt idx="22">
                  <c:v>Czechia</c:v>
                </c:pt>
                <c:pt idx="23">
                  <c:v>Chile***</c:v>
                </c:pt>
                <c:pt idx="24">
                  <c:v>Canada</c:v>
                </c:pt>
                <c:pt idx="25">
                  <c:v>Belgium</c:v>
                </c:pt>
                <c:pt idx="26">
                  <c:v>Austria</c:v>
                </c:pt>
                <c:pt idx="27">
                  <c:v>Australia</c:v>
                </c:pt>
              </c:strCache>
            </c:strRef>
          </c:cat>
          <c:val>
            <c:numRef>
              <c:f>Sheet5!$N$2:$N$30</c:f>
              <c:numCache>
                <c:formatCode>General</c:formatCode>
                <c:ptCount val="28"/>
                <c:pt idx="0">
                  <c:v>1.26</c:v>
                </c:pt>
                <c:pt idx="1">
                  <c:v>0.48</c:v>
                </c:pt>
                <c:pt idx="2">
                  <c:v>0.42</c:v>
                </c:pt>
                <c:pt idx="3">
                  <c:v>0.43</c:v>
                </c:pt>
                <c:pt idx="4">
                  <c:v>0.51</c:v>
                </c:pt>
                <c:pt idx="5">
                  <c:v>1.94</c:v>
                </c:pt>
                <c:pt idx="6">
                  <c:v>0.87</c:v>
                </c:pt>
                <c:pt idx="7">
                  <c:v>1.07</c:v>
                </c:pt>
                <c:pt idx="8">
                  <c:v>0.31</c:v>
                </c:pt>
                <c:pt idx="9">
                  <c:v>0.9</c:v>
                </c:pt>
                <c:pt idx="10">
                  <c:v>0.57999999999999996</c:v>
                </c:pt>
                <c:pt idx="11">
                  <c:v>1.54</c:v>
                </c:pt>
                <c:pt idx="12">
                  <c:v>0.53</c:v>
                </c:pt>
                <c:pt idx="13">
                  <c:v>0.66</c:v>
                </c:pt>
                <c:pt idx="14">
                  <c:v>1.1499999999999999</c:v>
                </c:pt>
                <c:pt idx="15">
                  <c:v>0.63</c:v>
                </c:pt>
                <c:pt idx="16">
                  <c:v>1.67</c:v>
                </c:pt>
                <c:pt idx="17">
                  <c:v>0.83</c:v>
                </c:pt>
                <c:pt idx="18">
                  <c:v>0.64</c:v>
                </c:pt>
                <c:pt idx="19">
                  <c:v>0.74</c:v>
                </c:pt>
                <c:pt idx="20">
                  <c:v>0.61</c:v>
                </c:pt>
                <c:pt idx="21">
                  <c:v>0.59</c:v>
                </c:pt>
                <c:pt idx="22">
                  <c:v>1.1299999999999999</c:v>
                </c:pt>
                <c:pt idx="23">
                  <c:v>0.8</c:v>
                </c:pt>
                <c:pt idx="24">
                  <c:v>0.79</c:v>
                </c:pt>
                <c:pt idx="25">
                  <c:v>1.06</c:v>
                </c:pt>
                <c:pt idx="26">
                  <c:v>0.74</c:v>
                </c:pt>
                <c:pt idx="27">
                  <c:v>0.67</c:v>
                </c:pt>
              </c:numCache>
            </c:numRef>
          </c:val>
          <c:extLst>
            <c:ext xmlns:c16="http://schemas.microsoft.com/office/drawing/2014/chart" uri="{C3380CC4-5D6E-409C-BE32-E72D297353CC}">
              <c16:uniqueId val="{00000000-E707-4773-85F4-626134C18237}"/>
            </c:ext>
          </c:extLst>
        </c:ser>
        <c:ser>
          <c:idx val="1"/>
          <c:order val="1"/>
          <c:tx>
            <c:strRef>
              <c:f>Sheet5!$O$1</c:f>
              <c:strCache>
                <c:ptCount val="1"/>
                <c:pt idx="0">
                  <c:v>Count of No. of registered vehicles, 2015</c:v>
                </c:pt>
              </c:strCache>
            </c:strRef>
          </c:tx>
          <c:spPr>
            <a:solidFill>
              <a:schemeClr val="accent2"/>
            </a:solidFill>
            <a:ln>
              <a:noFill/>
            </a:ln>
            <a:effectLst/>
          </c:spPr>
          <c:invertIfNegative val="0"/>
          <c:cat>
            <c:strRef>
              <c:f>Sheet5!$M$2:$M$30</c:f>
              <c:strCache>
                <c:ptCount val="28"/>
                <c:pt idx="0">
                  <c:v>United States</c:v>
                </c:pt>
                <c:pt idx="1">
                  <c:v>United Kingdom</c:v>
                </c:pt>
                <c:pt idx="2">
                  <c:v>Switzerland</c:v>
                </c:pt>
                <c:pt idx="3">
                  <c:v>Sweden</c:v>
                </c:pt>
                <c:pt idx="4">
                  <c:v>Spain</c:v>
                </c:pt>
                <c:pt idx="5">
                  <c:v>South Korea</c:v>
                </c:pt>
                <c:pt idx="6">
                  <c:v>Slovenia†††</c:v>
                </c:pt>
                <c:pt idx="7">
                  <c:v>Poland</c:v>
                </c:pt>
                <c:pt idx="8">
                  <c:v>Norway</c:v>
                </c:pt>
                <c:pt idx="9">
                  <c:v>New Zealand</c:v>
                </c:pt>
                <c:pt idx="10">
                  <c:v>Netherlands</c:v>
                </c:pt>
                <c:pt idx="11">
                  <c:v>Lithuania</c:v>
                </c:pt>
                <c:pt idx="12">
                  <c:v>Japan</c:v>
                </c:pt>
                <c:pt idx="13">
                  <c:v>Italy</c:v>
                </c:pt>
                <c:pt idx="14">
                  <c:v>Israel</c:v>
                </c:pt>
                <c:pt idx="15">
                  <c:v>Ireland</c:v>
                </c:pt>
                <c:pt idx="16">
                  <c:v>Hungary</c:v>
                </c:pt>
                <c:pt idx="17">
                  <c:v>Greece</c:v>
                </c:pt>
                <c:pt idx="18">
                  <c:v>Germany†††</c:v>
                </c:pt>
                <c:pt idx="19">
                  <c:v>France</c:v>
                </c:pt>
                <c:pt idx="20">
                  <c:v>Finland†††</c:v>
                </c:pt>
                <c:pt idx="21">
                  <c:v>Denmark</c:v>
                </c:pt>
                <c:pt idx="22">
                  <c:v>Czechia</c:v>
                </c:pt>
                <c:pt idx="23">
                  <c:v>Chile***</c:v>
                </c:pt>
                <c:pt idx="24">
                  <c:v>Canada</c:v>
                </c:pt>
                <c:pt idx="25">
                  <c:v>Belgium</c:v>
                </c:pt>
                <c:pt idx="26">
                  <c:v>Austria</c:v>
                </c:pt>
                <c:pt idx="27">
                  <c:v>Australia</c:v>
                </c:pt>
              </c:strCache>
            </c:strRef>
          </c:cat>
          <c:val>
            <c:numRef>
              <c:f>Sheet5!$O$2:$O$30</c:f>
              <c:numCache>
                <c:formatCode>General</c:formatCode>
                <c:ptCount val="2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extLst>
            <c:ext xmlns:c16="http://schemas.microsoft.com/office/drawing/2014/chart" uri="{C3380CC4-5D6E-409C-BE32-E72D297353CC}">
              <c16:uniqueId val="{00000001-E707-4773-85F4-626134C18237}"/>
            </c:ext>
          </c:extLst>
        </c:ser>
        <c:dLbls>
          <c:showLegendKey val="0"/>
          <c:showVal val="0"/>
          <c:showCatName val="0"/>
          <c:showSerName val="0"/>
          <c:showPercent val="0"/>
          <c:showBubbleSize val="0"/>
        </c:dLbls>
        <c:gapWidth val="219"/>
        <c:overlap val="-27"/>
        <c:axId val="1697214815"/>
        <c:axId val="1697215775"/>
      </c:barChart>
      <c:catAx>
        <c:axId val="1697214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215775"/>
        <c:crosses val="autoZero"/>
        <c:auto val="1"/>
        <c:lblAlgn val="ctr"/>
        <c:lblOffset val="100"/>
        <c:noMultiLvlLbl val="0"/>
      </c:catAx>
      <c:valAx>
        <c:axId val="1697215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214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Sheet5!$I$1</c:f>
              <c:strCache>
                <c:ptCount val="1"/>
                <c:pt idx="0">
                  <c:v>Sum of Vehicle miles traveled (in billions), 2015</c:v>
                </c:pt>
              </c:strCache>
            </c:strRef>
          </c:tx>
          <c:spPr>
            <a:solidFill>
              <a:schemeClr val="accent1"/>
            </a:solidFill>
            <a:ln>
              <a:noFill/>
            </a:ln>
            <a:effectLst/>
          </c:spPr>
          <c:invertIfNegative val="0"/>
          <c:cat>
            <c:strRef>
              <c:f>Sheet5!$H$2:$H$30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Sheet5!$I$2:$I$30</c:f>
              <c:numCache>
                <c:formatCode>General</c:formatCode>
                <c:ptCount val="28"/>
                <c:pt idx="0">
                  <c:v>154.4</c:v>
                </c:pt>
                <c:pt idx="1">
                  <c:v>47.9</c:v>
                </c:pt>
                <c:pt idx="2">
                  <c:v>62.3</c:v>
                </c:pt>
                <c:pt idx="3">
                  <c:v>227.3</c:v>
                </c:pt>
                <c:pt idx="4">
                  <c:v>282</c:v>
                </c:pt>
                <c:pt idx="5">
                  <c:v>31.7</c:v>
                </c:pt>
                <c:pt idx="6">
                  <c:v>32.4</c:v>
                </c:pt>
                <c:pt idx="7">
                  <c:v>282</c:v>
                </c:pt>
                <c:pt idx="8">
                  <c:v>375.2</c:v>
                </c:pt>
                <c:pt idx="9">
                  <c:v>282</c:v>
                </c:pt>
                <c:pt idx="10">
                  <c:v>282</c:v>
                </c:pt>
                <c:pt idx="11">
                  <c:v>282</c:v>
                </c:pt>
                <c:pt idx="12">
                  <c:v>28.6</c:v>
                </c:pt>
                <c:pt idx="13">
                  <c:v>34.1</c:v>
                </c:pt>
                <c:pt idx="14">
                  <c:v>282</c:v>
                </c:pt>
                <c:pt idx="15">
                  <c:v>454.2</c:v>
                </c:pt>
                <c:pt idx="16">
                  <c:v>282</c:v>
                </c:pt>
                <c:pt idx="17">
                  <c:v>80.5</c:v>
                </c:pt>
                <c:pt idx="18">
                  <c:v>26.9</c:v>
                </c:pt>
                <c:pt idx="19">
                  <c:v>27.5</c:v>
                </c:pt>
                <c:pt idx="20">
                  <c:v>138</c:v>
                </c:pt>
                <c:pt idx="21">
                  <c:v>282</c:v>
                </c:pt>
                <c:pt idx="22">
                  <c:v>185.4</c:v>
                </c:pt>
                <c:pt idx="23">
                  <c:v>282</c:v>
                </c:pt>
                <c:pt idx="24">
                  <c:v>50.2</c:v>
                </c:pt>
                <c:pt idx="25">
                  <c:v>40.6</c:v>
                </c:pt>
                <c:pt idx="26">
                  <c:v>282</c:v>
                </c:pt>
                <c:pt idx="27">
                  <c:v>3089.8</c:v>
                </c:pt>
              </c:numCache>
            </c:numRef>
          </c:val>
          <c:extLst>
            <c:ext xmlns:c16="http://schemas.microsoft.com/office/drawing/2014/chart" uri="{C3380CC4-5D6E-409C-BE32-E72D297353CC}">
              <c16:uniqueId val="{00000000-A0CA-4616-8C69-784038CC09BE}"/>
            </c:ext>
          </c:extLst>
        </c:ser>
        <c:ser>
          <c:idx val="1"/>
          <c:order val="1"/>
          <c:tx>
            <c:strRef>
              <c:f>Sheet5!$J$1</c:f>
              <c:strCache>
                <c:ptCount val="1"/>
                <c:pt idx="0">
                  <c:v>Sum of MVC deaths  per 100 million vehicle mile traveled 2015</c:v>
                </c:pt>
              </c:strCache>
            </c:strRef>
          </c:tx>
          <c:spPr>
            <a:solidFill>
              <a:schemeClr val="accent2"/>
            </a:solidFill>
            <a:ln>
              <a:noFill/>
            </a:ln>
            <a:effectLst/>
          </c:spPr>
          <c:invertIfNegative val="0"/>
          <c:cat>
            <c:strRef>
              <c:f>Sheet5!$H$2:$H$30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Sheet5!$J$2:$J$30</c:f>
              <c:numCache>
                <c:formatCode>General</c:formatCode>
                <c:ptCount val="28"/>
                <c:pt idx="0">
                  <c:v>0.78</c:v>
                </c:pt>
                <c:pt idx="1">
                  <c:v>1</c:v>
                </c:pt>
                <c:pt idx="2">
                  <c:v>1.22</c:v>
                </c:pt>
                <c:pt idx="3">
                  <c:v>0.83</c:v>
                </c:pt>
                <c:pt idx="4">
                  <c:v>1.0900000000000001</c:v>
                </c:pt>
                <c:pt idx="5">
                  <c:v>2.3199999999999998</c:v>
                </c:pt>
                <c:pt idx="6">
                  <c:v>0.55000000000000004</c:v>
                </c:pt>
                <c:pt idx="7">
                  <c:v>1.0900000000000001</c:v>
                </c:pt>
                <c:pt idx="8">
                  <c:v>0.92</c:v>
                </c:pt>
                <c:pt idx="9">
                  <c:v>1.0900000000000001</c:v>
                </c:pt>
                <c:pt idx="10">
                  <c:v>1.0900000000000001</c:v>
                </c:pt>
                <c:pt idx="11">
                  <c:v>1.0900000000000001</c:v>
                </c:pt>
                <c:pt idx="12">
                  <c:v>0.56999999999999995</c:v>
                </c:pt>
                <c:pt idx="13">
                  <c:v>1.05</c:v>
                </c:pt>
                <c:pt idx="14">
                  <c:v>1.0900000000000001</c:v>
                </c:pt>
                <c:pt idx="15">
                  <c:v>1.08</c:v>
                </c:pt>
                <c:pt idx="16">
                  <c:v>1.0900000000000001</c:v>
                </c:pt>
                <c:pt idx="17">
                  <c:v>0.77</c:v>
                </c:pt>
                <c:pt idx="18">
                  <c:v>1.18</c:v>
                </c:pt>
                <c:pt idx="19">
                  <c:v>0.43</c:v>
                </c:pt>
                <c:pt idx="20">
                  <c:v>2.13</c:v>
                </c:pt>
                <c:pt idx="21">
                  <c:v>1.0900000000000001</c:v>
                </c:pt>
                <c:pt idx="22">
                  <c:v>2.4900000000000002</c:v>
                </c:pt>
                <c:pt idx="23">
                  <c:v>1.0900000000000001</c:v>
                </c:pt>
                <c:pt idx="24">
                  <c:v>0.52</c:v>
                </c:pt>
                <c:pt idx="25">
                  <c:v>0.62</c:v>
                </c:pt>
                <c:pt idx="26">
                  <c:v>1.0900000000000001</c:v>
                </c:pt>
                <c:pt idx="27">
                  <c:v>1.1499999999999999</c:v>
                </c:pt>
              </c:numCache>
            </c:numRef>
          </c:val>
          <c:extLst>
            <c:ext xmlns:c16="http://schemas.microsoft.com/office/drawing/2014/chart" uri="{C3380CC4-5D6E-409C-BE32-E72D297353CC}">
              <c16:uniqueId val="{00000001-A0CA-4616-8C69-784038CC09BE}"/>
            </c:ext>
          </c:extLst>
        </c:ser>
        <c:dLbls>
          <c:showLegendKey val="0"/>
          <c:showVal val="0"/>
          <c:showCatName val="0"/>
          <c:showSerName val="0"/>
          <c:showPercent val="0"/>
          <c:showBubbleSize val="0"/>
        </c:dLbls>
        <c:gapWidth val="182"/>
        <c:axId val="565829167"/>
        <c:axId val="415079951"/>
      </c:barChart>
      <c:catAx>
        <c:axId val="565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9951"/>
        <c:crosses val="autoZero"/>
        <c:auto val="1"/>
        <c:lblAlgn val="ctr"/>
        <c:lblOffset val="100"/>
        <c:noMultiLvlLbl val="0"/>
      </c:catAx>
      <c:valAx>
        <c:axId val="4150799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29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i="1">
                <a:solidFill>
                  <a:schemeClr val="accent1">
                    <a:lumMod val="75000"/>
                  </a:schemeClr>
                </a:solidFill>
              </a:rPr>
              <a:t>SUMMARY</a:t>
            </a:r>
            <a:r>
              <a:rPr lang="en-GB" i="1" baseline="0">
                <a:solidFill>
                  <a:schemeClr val="accent1">
                    <a:lumMod val="75000"/>
                  </a:schemeClr>
                </a:solidFill>
              </a:rPr>
              <a:t> CHART </a:t>
            </a:r>
            <a:endParaRPr lang="en-GB" i="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Sheet5!$T$1</c:f>
              <c:strCache>
                <c:ptCount val="1"/>
                <c:pt idx="0">
                  <c:v>Sum of MVC deaths per 10,000 registered vehicles 2019</c:v>
                </c:pt>
              </c:strCache>
            </c:strRef>
          </c:tx>
          <c:spPr>
            <a:solidFill>
              <a:schemeClr val="accent1"/>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Sheet5!$T$2:$T$30</c:f>
              <c:numCache>
                <c:formatCode>General</c:formatCode>
                <c:ptCount val="28"/>
                <c:pt idx="0">
                  <c:v>0.61</c:v>
                </c:pt>
                <c:pt idx="1">
                  <c:v>0.6</c:v>
                </c:pt>
                <c:pt idx="2">
                  <c:v>0.85</c:v>
                </c:pt>
                <c:pt idx="3">
                  <c:v>0.69</c:v>
                </c:pt>
                <c:pt idx="4">
                  <c:v>3.52</c:v>
                </c:pt>
                <c:pt idx="5">
                  <c:v>0.81</c:v>
                </c:pt>
                <c:pt idx="6">
                  <c:v>0.6</c:v>
                </c:pt>
                <c:pt idx="7">
                  <c:v>0.43</c:v>
                </c:pt>
                <c:pt idx="8">
                  <c:v>0.67</c:v>
                </c:pt>
                <c:pt idx="9">
                  <c:v>0.53</c:v>
                </c:pt>
                <c:pt idx="10">
                  <c:v>0.7</c:v>
                </c:pt>
                <c:pt idx="11">
                  <c:v>1.3</c:v>
                </c:pt>
                <c:pt idx="12">
                  <c:v>0.5</c:v>
                </c:pt>
                <c:pt idx="13">
                  <c:v>0.99</c:v>
                </c:pt>
                <c:pt idx="14">
                  <c:v>0.57999999999999996</c:v>
                </c:pt>
                <c:pt idx="15">
                  <c:v>0.43</c:v>
                </c:pt>
                <c:pt idx="16">
                  <c:v>1.08</c:v>
                </c:pt>
                <c:pt idx="17">
                  <c:v>0.56999999999999995</c:v>
                </c:pt>
                <c:pt idx="18">
                  <c:v>0.8</c:v>
                </c:pt>
                <c:pt idx="19">
                  <c:v>0.27</c:v>
                </c:pt>
                <c:pt idx="20">
                  <c:v>0.91</c:v>
                </c:pt>
                <c:pt idx="21">
                  <c:v>0.67</c:v>
                </c:pt>
                <c:pt idx="22">
                  <c:v>1.24</c:v>
                </c:pt>
                <c:pt idx="23">
                  <c:v>0.48</c:v>
                </c:pt>
                <c:pt idx="24">
                  <c:v>0.35</c:v>
                </c:pt>
                <c:pt idx="25">
                  <c:v>0.28999999999999998</c:v>
                </c:pt>
                <c:pt idx="26">
                  <c:v>0.45</c:v>
                </c:pt>
                <c:pt idx="27">
                  <c:v>1.21</c:v>
                </c:pt>
              </c:numCache>
            </c:numRef>
          </c:val>
          <c:extLst>
            <c:ext xmlns:c16="http://schemas.microsoft.com/office/drawing/2014/chart" uri="{C3380CC4-5D6E-409C-BE32-E72D297353CC}">
              <c16:uniqueId val="{00000000-E374-4186-9A0F-4E85309BE29D}"/>
            </c:ext>
          </c:extLst>
        </c:ser>
        <c:ser>
          <c:idx val="1"/>
          <c:order val="1"/>
          <c:tx>
            <c:strRef>
              <c:f>Sheet5!$U$1</c:f>
              <c:strCache>
                <c:ptCount val="1"/>
                <c:pt idx="0">
                  <c:v>Sum of MVC deaths per 10,000 registered vehicles 2015</c:v>
                </c:pt>
              </c:strCache>
            </c:strRef>
          </c:tx>
          <c:spPr>
            <a:solidFill>
              <a:schemeClr val="accent2"/>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Sheet5!$U$2:$U$30</c:f>
              <c:numCache>
                <c:formatCode>General</c:formatCode>
                <c:ptCount val="28"/>
                <c:pt idx="0">
                  <c:v>0.67</c:v>
                </c:pt>
                <c:pt idx="1">
                  <c:v>0.74</c:v>
                </c:pt>
                <c:pt idx="2">
                  <c:v>1.06</c:v>
                </c:pt>
                <c:pt idx="3">
                  <c:v>0.79</c:v>
                </c:pt>
                <c:pt idx="4">
                  <c:v>0.8</c:v>
                </c:pt>
                <c:pt idx="5">
                  <c:v>1.1299999999999999</c:v>
                </c:pt>
                <c:pt idx="6">
                  <c:v>0.59</c:v>
                </c:pt>
                <c:pt idx="7">
                  <c:v>0.61</c:v>
                </c:pt>
                <c:pt idx="8">
                  <c:v>0.74</c:v>
                </c:pt>
                <c:pt idx="9">
                  <c:v>0.64</c:v>
                </c:pt>
                <c:pt idx="10">
                  <c:v>0.83</c:v>
                </c:pt>
                <c:pt idx="11">
                  <c:v>1.67</c:v>
                </c:pt>
                <c:pt idx="12">
                  <c:v>0.63</c:v>
                </c:pt>
                <c:pt idx="13">
                  <c:v>1.1499999999999999</c:v>
                </c:pt>
                <c:pt idx="14">
                  <c:v>0.66</c:v>
                </c:pt>
                <c:pt idx="15">
                  <c:v>0.53</c:v>
                </c:pt>
                <c:pt idx="16">
                  <c:v>1.54</c:v>
                </c:pt>
                <c:pt idx="17">
                  <c:v>0.57999999999999996</c:v>
                </c:pt>
                <c:pt idx="18">
                  <c:v>0.9</c:v>
                </c:pt>
                <c:pt idx="19">
                  <c:v>0.31</c:v>
                </c:pt>
                <c:pt idx="20">
                  <c:v>1.07</c:v>
                </c:pt>
                <c:pt idx="21">
                  <c:v>0.87</c:v>
                </c:pt>
                <c:pt idx="22">
                  <c:v>1.94</c:v>
                </c:pt>
                <c:pt idx="23">
                  <c:v>0.51</c:v>
                </c:pt>
                <c:pt idx="24">
                  <c:v>0.43</c:v>
                </c:pt>
                <c:pt idx="25">
                  <c:v>0.42</c:v>
                </c:pt>
                <c:pt idx="26">
                  <c:v>0.48</c:v>
                </c:pt>
                <c:pt idx="27">
                  <c:v>1.26</c:v>
                </c:pt>
              </c:numCache>
            </c:numRef>
          </c:val>
          <c:extLst>
            <c:ext xmlns:c16="http://schemas.microsoft.com/office/drawing/2014/chart" uri="{C3380CC4-5D6E-409C-BE32-E72D297353CC}">
              <c16:uniqueId val="{00000001-E374-4186-9A0F-4E85309BE29D}"/>
            </c:ext>
          </c:extLst>
        </c:ser>
        <c:ser>
          <c:idx val="2"/>
          <c:order val="2"/>
          <c:tx>
            <c:strRef>
              <c:f>Sheet5!$V$1</c:f>
              <c:strCache>
                <c:ptCount val="1"/>
                <c:pt idx="0">
                  <c:v>Sum of No. of registered vehicles, 2019</c:v>
                </c:pt>
              </c:strCache>
            </c:strRef>
          </c:tx>
          <c:spPr>
            <a:solidFill>
              <a:schemeClr val="accent3"/>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Sheet5!$V$2:$V$30</c:f>
              <c:numCache>
                <c:formatCode>General</c:formatCode>
                <c:ptCount val="28"/>
                <c:pt idx="0">
                  <c:v>19505241</c:v>
                </c:pt>
                <c:pt idx="1">
                  <c:v>6895596</c:v>
                </c:pt>
                <c:pt idx="2">
                  <c:v>7614082</c:v>
                </c:pt>
                <c:pt idx="3">
                  <c:v>25422635</c:v>
                </c:pt>
                <c:pt idx="4">
                  <c:v>5599733</c:v>
                </c:pt>
                <c:pt idx="5">
                  <c:v>7643000</c:v>
                </c:pt>
                <c:pt idx="6">
                  <c:v>3290000</c:v>
                </c:pt>
                <c:pt idx="7">
                  <c:v>4878000</c:v>
                </c:pt>
                <c:pt idx="8">
                  <c:v>48298911</c:v>
                </c:pt>
                <c:pt idx="9">
                  <c:v>57305201</c:v>
                </c:pt>
                <c:pt idx="10">
                  <c:v>9822000</c:v>
                </c:pt>
                <c:pt idx="11">
                  <c:v>4625398</c:v>
                </c:pt>
                <c:pt idx="12">
                  <c:v>2805839</c:v>
                </c:pt>
                <c:pt idx="13">
                  <c:v>3600693</c:v>
                </c:pt>
                <c:pt idx="14">
                  <c:v>55026299</c:v>
                </c:pt>
                <c:pt idx="15">
                  <c:v>91457940</c:v>
                </c:pt>
                <c:pt idx="16">
                  <c:v>1719065</c:v>
                </c:pt>
                <c:pt idx="17">
                  <c:v>11553132</c:v>
                </c:pt>
                <c:pt idx="18">
                  <c:v>4403000</c:v>
                </c:pt>
                <c:pt idx="19">
                  <c:v>4049449</c:v>
                </c:pt>
                <c:pt idx="20">
                  <c:v>31989000</c:v>
                </c:pt>
                <c:pt idx="21">
                  <c:v>1515329</c:v>
                </c:pt>
                <c:pt idx="22">
                  <c:v>26990456</c:v>
                </c:pt>
                <c:pt idx="23">
                  <c:v>36343283</c:v>
                </c:pt>
                <c:pt idx="24">
                  <c:v>6363944</c:v>
                </c:pt>
                <c:pt idx="25">
                  <c:v>6371545</c:v>
                </c:pt>
                <c:pt idx="26">
                  <c:v>39890719</c:v>
                </c:pt>
                <c:pt idx="27">
                  <c:v>299267114</c:v>
                </c:pt>
              </c:numCache>
            </c:numRef>
          </c:val>
          <c:extLst>
            <c:ext xmlns:c16="http://schemas.microsoft.com/office/drawing/2014/chart" uri="{C3380CC4-5D6E-409C-BE32-E72D297353CC}">
              <c16:uniqueId val="{00000002-E374-4186-9A0F-4E85309BE29D}"/>
            </c:ext>
          </c:extLst>
        </c:ser>
        <c:ser>
          <c:idx val="3"/>
          <c:order val="3"/>
          <c:tx>
            <c:strRef>
              <c:f>Sheet5!$W$1</c:f>
              <c:strCache>
                <c:ptCount val="1"/>
                <c:pt idx="0">
                  <c:v>Count of No. of registered vehicles, 2015</c:v>
                </c:pt>
              </c:strCache>
            </c:strRef>
          </c:tx>
          <c:spPr>
            <a:solidFill>
              <a:schemeClr val="accent4"/>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Sheet5!$W$2:$W$30</c:f>
              <c:numCache>
                <c:formatCode>General</c:formatCode>
                <c:ptCount val="2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extLst>
            <c:ext xmlns:c16="http://schemas.microsoft.com/office/drawing/2014/chart" uri="{C3380CC4-5D6E-409C-BE32-E72D297353CC}">
              <c16:uniqueId val="{00000003-E374-4186-9A0F-4E85309BE29D}"/>
            </c:ext>
          </c:extLst>
        </c:ser>
        <c:ser>
          <c:idx val="4"/>
          <c:order val="4"/>
          <c:tx>
            <c:strRef>
              <c:f>Sheet5!$X$1</c:f>
              <c:strCache>
                <c:ptCount val="1"/>
                <c:pt idx="0">
                  <c:v>Sum of Vehicle miles traveled (in billions), 2015</c:v>
                </c:pt>
              </c:strCache>
            </c:strRef>
          </c:tx>
          <c:spPr>
            <a:solidFill>
              <a:schemeClr val="accent5"/>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Sheet5!$X$2:$X$30</c:f>
              <c:numCache>
                <c:formatCode>General</c:formatCode>
                <c:ptCount val="28"/>
                <c:pt idx="0">
                  <c:v>154.4</c:v>
                </c:pt>
                <c:pt idx="1">
                  <c:v>47.9</c:v>
                </c:pt>
                <c:pt idx="2">
                  <c:v>62.3</c:v>
                </c:pt>
                <c:pt idx="3">
                  <c:v>227.3</c:v>
                </c:pt>
                <c:pt idx="4">
                  <c:v>282</c:v>
                </c:pt>
                <c:pt idx="5">
                  <c:v>31.7</c:v>
                </c:pt>
                <c:pt idx="6">
                  <c:v>32.4</c:v>
                </c:pt>
                <c:pt idx="7">
                  <c:v>282</c:v>
                </c:pt>
                <c:pt idx="8">
                  <c:v>375.2</c:v>
                </c:pt>
                <c:pt idx="9">
                  <c:v>282</c:v>
                </c:pt>
                <c:pt idx="10">
                  <c:v>282</c:v>
                </c:pt>
                <c:pt idx="11">
                  <c:v>282</c:v>
                </c:pt>
                <c:pt idx="12">
                  <c:v>28.6</c:v>
                </c:pt>
                <c:pt idx="13">
                  <c:v>34.1</c:v>
                </c:pt>
                <c:pt idx="14">
                  <c:v>282</c:v>
                </c:pt>
                <c:pt idx="15">
                  <c:v>454.2</c:v>
                </c:pt>
                <c:pt idx="16">
                  <c:v>282</c:v>
                </c:pt>
                <c:pt idx="17">
                  <c:v>80.5</c:v>
                </c:pt>
                <c:pt idx="18">
                  <c:v>26.9</c:v>
                </c:pt>
                <c:pt idx="19">
                  <c:v>27.5</c:v>
                </c:pt>
                <c:pt idx="20">
                  <c:v>138</c:v>
                </c:pt>
                <c:pt idx="21">
                  <c:v>282</c:v>
                </c:pt>
                <c:pt idx="22">
                  <c:v>185.4</c:v>
                </c:pt>
                <c:pt idx="23">
                  <c:v>282</c:v>
                </c:pt>
                <c:pt idx="24">
                  <c:v>50.2</c:v>
                </c:pt>
                <c:pt idx="25">
                  <c:v>40.6</c:v>
                </c:pt>
                <c:pt idx="26">
                  <c:v>282</c:v>
                </c:pt>
                <c:pt idx="27">
                  <c:v>3089.8</c:v>
                </c:pt>
              </c:numCache>
            </c:numRef>
          </c:val>
          <c:extLst>
            <c:ext xmlns:c16="http://schemas.microsoft.com/office/drawing/2014/chart" uri="{C3380CC4-5D6E-409C-BE32-E72D297353CC}">
              <c16:uniqueId val="{00000004-E374-4186-9A0F-4E85309BE29D}"/>
            </c:ext>
          </c:extLst>
        </c:ser>
        <c:ser>
          <c:idx val="5"/>
          <c:order val="5"/>
          <c:tx>
            <c:strRef>
              <c:f>Sheet5!$Y$1</c:f>
              <c:strCache>
                <c:ptCount val="1"/>
                <c:pt idx="0">
                  <c:v>Sum of Vehicle miles traveled  (in billions), 2019</c:v>
                </c:pt>
              </c:strCache>
            </c:strRef>
          </c:tx>
          <c:spPr>
            <a:solidFill>
              <a:schemeClr val="accent6"/>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Sheet5!$Y$2:$Y$30</c:f>
              <c:numCache>
                <c:formatCode>General</c:formatCode>
                <c:ptCount val="28"/>
                <c:pt idx="0">
                  <c:v>162.80000000000001</c:v>
                </c:pt>
                <c:pt idx="1">
                  <c:v>52.8</c:v>
                </c:pt>
                <c:pt idx="2">
                  <c:v>279</c:v>
                </c:pt>
                <c:pt idx="3">
                  <c:v>248.3</c:v>
                </c:pt>
                <c:pt idx="4">
                  <c:v>278</c:v>
                </c:pt>
                <c:pt idx="5">
                  <c:v>35.700000000000003</c:v>
                </c:pt>
                <c:pt idx="6">
                  <c:v>34.200000000000003</c:v>
                </c:pt>
                <c:pt idx="7">
                  <c:v>31.3</c:v>
                </c:pt>
                <c:pt idx="8">
                  <c:v>382.4</c:v>
                </c:pt>
                <c:pt idx="9">
                  <c:v>469.1</c:v>
                </c:pt>
                <c:pt idx="10">
                  <c:v>278</c:v>
                </c:pt>
                <c:pt idx="11">
                  <c:v>29.3</c:v>
                </c:pt>
                <c:pt idx="12">
                  <c:v>29.2</c:v>
                </c:pt>
                <c:pt idx="13">
                  <c:v>39.299999999999997</c:v>
                </c:pt>
                <c:pt idx="14">
                  <c:v>279</c:v>
                </c:pt>
                <c:pt idx="15">
                  <c:v>462.7</c:v>
                </c:pt>
                <c:pt idx="16">
                  <c:v>278</c:v>
                </c:pt>
                <c:pt idx="17">
                  <c:v>85.5</c:v>
                </c:pt>
                <c:pt idx="18">
                  <c:v>30.4</c:v>
                </c:pt>
                <c:pt idx="19">
                  <c:v>28.7</c:v>
                </c:pt>
                <c:pt idx="20">
                  <c:v>155.1</c:v>
                </c:pt>
                <c:pt idx="21">
                  <c:v>14</c:v>
                </c:pt>
                <c:pt idx="22">
                  <c:v>204.8</c:v>
                </c:pt>
                <c:pt idx="23">
                  <c:v>278</c:v>
                </c:pt>
                <c:pt idx="24">
                  <c:v>52</c:v>
                </c:pt>
                <c:pt idx="25">
                  <c:v>43.1</c:v>
                </c:pt>
                <c:pt idx="26">
                  <c:v>278</c:v>
                </c:pt>
                <c:pt idx="27">
                  <c:v>3261.8</c:v>
                </c:pt>
              </c:numCache>
            </c:numRef>
          </c:val>
          <c:extLst>
            <c:ext xmlns:c16="http://schemas.microsoft.com/office/drawing/2014/chart" uri="{C3380CC4-5D6E-409C-BE32-E72D297353CC}">
              <c16:uniqueId val="{00000005-E374-4186-9A0F-4E85309BE29D}"/>
            </c:ext>
          </c:extLst>
        </c:ser>
        <c:ser>
          <c:idx val="6"/>
          <c:order val="6"/>
          <c:tx>
            <c:strRef>
              <c:f>Sheet5!$Z$1</c:f>
              <c:strCache>
                <c:ptCount val="1"/>
                <c:pt idx="0">
                  <c:v>Sum of MVC deaths  per 100 million vehicle mile traveled 2015</c:v>
                </c:pt>
              </c:strCache>
            </c:strRef>
          </c:tx>
          <c:spPr>
            <a:solidFill>
              <a:schemeClr val="accent1">
                <a:lumMod val="60000"/>
              </a:schemeClr>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Sheet5!$Z$2:$Z$30</c:f>
              <c:numCache>
                <c:formatCode>General</c:formatCode>
                <c:ptCount val="28"/>
                <c:pt idx="0">
                  <c:v>0.78</c:v>
                </c:pt>
                <c:pt idx="1">
                  <c:v>1</c:v>
                </c:pt>
                <c:pt idx="2">
                  <c:v>1.22</c:v>
                </c:pt>
                <c:pt idx="3">
                  <c:v>0.83</c:v>
                </c:pt>
                <c:pt idx="4">
                  <c:v>1.0900000000000001</c:v>
                </c:pt>
                <c:pt idx="5">
                  <c:v>2.3199999999999998</c:v>
                </c:pt>
                <c:pt idx="6">
                  <c:v>0.55000000000000004</c:v>
                </c:pt>
                <c:pt idx="7">
                  <c:v>1.0900000000000001</c:v>
                </c:pt>
                <c:pt idx="8">
                  <c:v>0.92</c:v>
                </c:pt>
                <c:pt idx="9">
                  <c:v>1.0900000000000001</c:v>
                </c:pt>
                <c:pt idx="10">
                  <c:v>1.0900000000000001</c:v>
                </c:pt>
                <c:pt idx="11">
                  <c:v>1.0900000000000001</c:v>
                </c:pt>
                <c:pt idx="12">
                  <c:v>0.56999999999999995</c:v>
                </c:pt>
                <c:pt idx="13">
                  <c:v>1.05</c:v>
                </c:pt>
                <c:pt idx="14">
                  <c:v>1.0900000000000001</c:v>
                </c:pt>
                <c:pt idx="15">
                  <c:v>1.08</c:v>
                </c:pt>
                <c:pt idx="16">
                  <c:v>1.0900000000000001</c:v>
                </c:pt>
                <c:pt idx="17">
                  <c:v>0.77</c:v>
                </c:pt>
                <c:pt idx="18">
                  <c:v>1.18</c:v>
                </c:pt>
                <c:pt idx="19">
                  <c:v>0.43</c:v>
                </c:pt>
                <c:pt idx="20">
                  <c:v>2.13</c:v>
                </c:pt>
                <c:pt idx="21">
                  <c:v>1.0900000000000001</c:v>
                </c:pt>
                <c:pt idx="22">
                  <c:v>2.4900000000000002</c:v>
                </c:pt>
                <c:pt idx="23">
                  <c:v>1.0900000000000001</c:v>
                </c:pt>
                <c:pt idx="24">
                  <c:v>0.52</c:v>
                </c:pt>
                <c:pt idx="25">
                  <c:v>0.62</c:v>
                </c:pt>
                <c:pt idx="26">
                  <c:v>1.0900000000000001</c:v>
                </c:pt>
                <c:pt idx="27">
                  <c:v>1.1499999999999999</c:v>
                </c:pt>
              </c:numCache>
            </c:numRef>
          </c:val>
          <c:extLst>
            <c:ext xmlns:c16="http://schemas.microsoft.com/office/drawing/2014/chart" uri="{C3380CC4-5D6E-409C-BE32-E72D297353CC}">
              <c16:uniqueId val="{00000006-E374-4186-9A0F-4E85309BE29D}"/>
            </c:ext>
          </c:extLst>
        </c:ser>
        <c:ser>
          <c:idx val="7"/>
          <c:order val="7"/>
          <c:tx>
            <c:strRef>
              <c:f>Sheet5!$AA$1</c:f>
              <c:strCache>
                <c:ptCount val="1"/>
                <c:pt idx="0">
                  <c:v>Sum of MVC deaths  per 100 million vehicle miles traveled2019</c:v>
                </c:pt>
              </c:strCache>
            </c:strRef>
          </c:tx>
          <c:spPr>
            <a:solidFill>
              <a:schemeClr val="accent2">
                <a:lumMod val="60000"/>
              </a:schemeClr>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Sheet5!$AA$2:$AA$30</c:f>
              <c:numCache>
                <c:formatCode>General</c:formatCode>
                <c:ptCount val="28"/>
                <c:pt idx="0">
                  <c:v>0.73</c:v>
                </c:pt>
                <c:pt idx="1">
                  <c:v>0.79</c:v>
                </c:pt>
                <c:pt idx="2">
                  <c:v>0.9</c:v>
                </c:pt>
                <c:pt idx="3">
                  <c:v>0.71</c:v>
                </c:pt>
                <c:pt idx="4">
                  <c:v>0.9</c:v>
                </c:pt>
                <c:pt idx="5">
                  <c:v>1.73</c:v>
                </c:pt>
                <c:pt idx="6">
                  <c:v>0.57999999999999996</c:v>
                </c:pt>
                <c:pt idx="7">
                  <c:v>0.67</c:v>
                </c:pt>
                <c:pt idx="8">
                  <c:v>0.85</c:v>
                </c:pt>
                <c:pt idx="9">
                  <c:v>0.65</c:v>
                </c:pt>
                <c:pt idx="10">
                  <c:v>0.9</c:v>
                </c:pt>
                <c:pt idx="11">
                  <c:v>2.0499999999999998</c:v>
                </c:pt>
                <c:pt idx="12">
                  <c:v>0.48</c:v>
                </c:pt>
                <c:pt idx="13">
                  <c:v>0.9</c:v>
                </c:pt>
                <c:pt idx="14">
                  <c:v>0.9</c:v>
                </c:pt>
                <c:pt idx="15">
                  <c:v>0.85</c:v>
                </c:pt>
                <c:pt idx="16">
                  <c:v>0.9</c:v>
                </c:pt>
                <c:pt idx="17">
                  <c:v>0.77</c:v>
                </c:pt>
                <c:pt idx="18">
                  <c:v>1.1599999999999999</c:v>
                </c:pt>
                <c:pt idx="19">
                  <c:v>0.38</c:v>
                </c:pt>
                <c:pt idx="20">
                  <c:v>1.88</c:v>
                </c:pt>
                <c:pt idx="21">
                  <c:v>0.73</c:v>
                </c:pt>
                <c:pt idx="22">
                  <c:v>1.64</c:v>
                </c:pt>
                <c:pt idx="23">
                  <c:v>0.9</c:v>
                </c:pt>
                <c:pt idx="24">
                  <c:v>0.42</c:v>
                </c:pt>
                <c:pt idx="25">
                  <c:v>0.43</c:v>
                </c:pt>
                <c:pt idx="26">
                  <c:v>0.9</c:v>
                </c:pt>
                <c:pt idx="27">
                  <c:v>1.1100000000000001</c:v>
                </c:pt>
              </c:numCache>
            </c:numRef>
          </c:val>
          <c:extLst>
            <c:ext xmlns:c16="http://schemas.microsoft.com/office/drawing/2014/chart" uri="{C3380CC4-5D6E-409C-BE32-E72D297353CC}">
              <c16:uniqueId val="{00000007-E374-4186-9A0F-4E85309BE29D}"/>
            </c:ext>
          </c:extLst>
        </c:ser>
        <c:dLbls>
          <c:showLegendKey val="0"/>
          <c:showVal val="0"/>
          <c:showCatName val="0"/>
          <c:showSerName val="0"/>
          <c:showPercent val="0"/>
          <c:showBubbleSize val="0"/>
        </c:dLbls>
        <c:gapWidth val="150"/>
        <c:axId val="415079471"/>
        <c:axId val="415080431"/>
      </c:barChart>
      <c:catAx>
        <c:axId val="415079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80431"/>
        <c:crosses val="autoZero"/>
        <c:auto val="1"/>
        <c:lblAlgn val="ctr"/>
        <c:lblOffset val="100"/>
        <c:noMultiLvlLbl val="0"/>
      </c:catAx>
      <c:valAx>
        <c:axId val="41508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lumMod val="95000"/>
      </a:schemeClr>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WORK.xlsm]Sheet5!PivotTable17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SUMMARY</a:t>
            </a:r>
            <a:r>
              <a:rPr lang="en-GB" baseline="0"/>
              <a:t> CHART FOR RATES</a:t>
            </a:r>
          </a:p>
          <a:p>
            <a:pPr>
              <a:defRPr/>
            </a:pP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Sheet5!$T$1</c:f>
              <c:strCache>
                <c:ptCount val="1"/>
                <c:pt idx="0">
                  <c:v>Sum of MVC deaths per 10,000 registered vehicles 2019</c:v>
                </c:pt>
              </c:strCache>
            </c:strRef>
          </c:tx>
          <c:spPr>
            <a:solidFill>
              <a:schemeClr val="accent1"/>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Sheet5!$T$2:$T$30</c:f>
              <c:numCache>
                <c:formatCode>General</c:formatCode>
                <c:ptCount val="28"/>
                <c:pt idx="0">
                  <c:v>0.61</c:v>
                </c:pt>
                <c:pt idx="1">
                  <c:v>0.6</c:v>
                </c:pt>
                <c:pt idx="2">
                  <c:v>0.85</c:v>
                </c:pt>
                <c:pt idx="3">
                  <c:v>0.69</c:v>
                </c:pt>
                <c:pt idx="4">
                  <c:v>3.52</c:v>
                </c:pt>
                <c:pt idx="5">
                  <c:v>0.81</c:v>
                </c:pt>
                <c:pt idx="6">
                  <c:v>0.6</c:v>
                </c:pt>
                <c:pt idx="7">
                  <c:v>0.43</c:v>
                </c:pt>
                <c:pt idx="8">
                  <c:v>0.67</c:v>
                </c:pt>
                <c:pt idx="9">
                  <c:v>0.53</c:v>
                </c:pt>
                <c:pt idx="10">
                  <c:v>0.7</c:v>
                </c:pt>
                <c:pt idx="11">
                  <c:v>1.3</c:v>
                </c:pt>
                <c:pt idx="12">
                  <c:v>0.5</c:v>
                </c:pt>
                <c:pt idx="13">
                  <c:v>0.99</c:v>
                </c:pt>
                <c:pt idx="14">
                  <c:v>0.57999999999999996</c:v>
                </c:pt>
                <c:pt idx="15">
                  <c:v>0.43</c:v>
                </c:pt>
                <c:pt idx="16">
                  <c:v>1.08</c:v>
                </c:pt>
                <c:pt idx="17">
                  <c:v>0.56999999999999995</c:v>
                </c:pt>
                <c:pt idx="18">
                  <c:v>0.8</c:v>
                </c:pt>
                <c:pt idx="19">
                  <c:v>0.27</c:v>
                </c:pt>
                <c:pt idx="20">
                  <c:v>0.91</c:v>
                </c:pt>
                <c:pt idx="21">
                  <c:v>0.67</c:v>
                </c:pt>
                <c:pt idx="22">
                  <c:v>1.24</c:v>
                </c:pt>
                <c:pt idx="23">
                  <c:v>0.48</c:v>
                </c:pt>
                <c:pt idx="24">
                  <c:v>0.35</c:v>
                </c:pt>
                <c:pt idx="25">
                  <c:v>0.28999999999999998</c:v>
                </c:pt>
                <c:pt idx="26">
                  <c:v>0.45</c:v>
                </c:pt>
                <c:pt idx="27">
                  <c:v>1.21</c:v>
                </c:pt>
              </c:numCache>
            </c:numRef>
          </c:val>
          <c:extLst>
            <c:ext xmlns:c16="http://schemas.microsoft.com/office/drawing/2014/chart" uri="{C3380CC4-5D6E-409C-BE32-E72D297353CC}">
              <c16:uniqueId val="{00000000-ED39-4D2B-8D6C-571C81B1689B}"/>
            </c:ext>
          </c:extLst>
        </c:ser>
        <c:ser>
          <c:idx val="1"/>
          <c:order val="1"/>
          <c:tx>
            <c:strRef>
              <c:f>Sheet5!$U$1</c:f>
              <c:strCache>
                <c:ptCount val="1"/>
                <c:pt idx="0">
                  <c:v>Sum of MVC deaths per 10,000 registered vehicles 2015</c:v>
                </c:pt>
              </c:strCache>
            </c:strRef>
          </c:tx>
          <c:spPr>
            <a:solidFill>
              <a:schemeClr val="accent2"/>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Sheet5!$U$2:$U$30</c:f>
              <c:numCache>
                <c:formatCode>General</c:formatCode>
                <c:ptCount val="28"/>
                <c:pt idx="0">
                  <c:v>0.67</c:v>
                </c:pt>
                <c:pt idx="1">
                  <c:v>0.74</c:v>
                </c:pt>
                <c:pt idx="2">
                  <c:v>1.06</c:v>
                </c:pt>
                <c:pt idx="3">
                  <c:v>0.79</c:v>
                </c:pt>
                <c:pt idx="4">
                  <c:v>0.8</c:v>
                </c:pt>
                <c:pt idx="5">
                  <c:v>1.1299999999999999</c:v>
                </c:pt>
                <c:pt idx="6">
                  <c:v>0.59</c:v>
                </c:pt>
                <c:pt idx="7">
                  <c:v>0.61</c:v>
                </c:pt>
                <c:pt idx="8">
                  <c:v>0.74</c:v>
                </c:pt>
                <c:pt idx="9">
                  <c:v>0.64</c:v>
                </c:pt>
                <c:pt idx="10">
                  <c:v>0.83</c:v>
                </c:pt>
                <c:pt idx="11">
                  <c:v>1.67</c:v>
                </c:pt>
                <c:pt idx="12">
                  <c:v>0.63</c:v>
                </c:pt>
                <c:pt idx="13">
                  <c:v>1.1499999999999999</c:v>
                </c:pt>
                <c:pt idx="14">
                  <c:v>0.66</c:v>
                </c:pt>
                <c:pt idx="15">
                  <c:v>0.53</c:v>
                </c:pt>
                <c:pt idx="16">
                  <c:v>1.54</c:v>
                </c:pt>
                <c:pt idx="17">
                  <c:v>0.57999999999999996</c:v>
                </c:pt>
                <c:pt idx="18">
                  <c:v>0.9</c:v>
                </c:pt>
                <c:pt idx="19">
                  <c:v>0.31</c:v>
                </c:pt>
                <c:pt idx="20">
                  <c:v>1.07</c:v>
                </c:pt>
                <c:pt idx="21">
                  <c:v>0.87</c:v>
                </c:pt>
                <c:pt idx="22">
                  <c:v>1.94</c:v>
                </c:pt>
                <c:pt idx="23">
                  <c:v>0.51</c:v>
                </c:pt>
                <c:pt idx="24">
                  <c:v>0.43</c:v>
                </c:pt>
                <c:pt idx="25">
                  <c:v>0.42</c:v>
                </c:pt>
                <c:pt idx="26">
                  <c:v>0.48</c:v>
                </c:pt>
                <c:pt idx="27">
                  <c:v>1.26</c:v>
                </c:pt>
              </c:numCache>
            </c:numRef>
          </c:val>
          <c:extLst>
            <c:ext xmlns:c16="http://schemas.microsoft.com/office/drawing/2014/chart" uri="{C3380CC4-5D6E-409C-BE32-E72D297353CC}">
              <c16:uniqueId val="{00000001-ED39-4D2B-8D6C-571C81B1689B}"/>
            </c:ext>
          </c:extLst>
        </c:ser>
        <c:ser>
          <c:idx val="2"/>
          <c:order val="2"/>
          <c:tx>
            <c:strRef>
              <c:f>Sheet5!$V$1</c:f>
              <c:strCache>
                <c:ptCount val="1"/>
                <c:pt idx="0">
                  <c:v>Sum of No. of registered vehicles, 2019</c:v>
                </c:pt>
              </c:strCache>
            </c:strRef>
          </c:tx>
          <c:spPr>
            <a:solidFill>
              <a:schemeClr val="accent3"/>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Sheet5!$V$2:$V$30</c:f>
              <c:numCache>
                <c:formatCode>General</c:formatCode>
                <c:ptCount val="28"/>
                <c:pt idx="0">
                  <c:v>19505241</c:v>
                </c:pt>
                <c:pt idx="1">
                  <c:v>6895596</c:v>
                </c:pt>
                <c:pt idx="2">
                  <c:v>7614082</c:v>
                </c:pt>
                <c:pt idx="3">
                  <c:v>25422635</c:v>
                </c:pt>
                <c:pt idx="4">
                  <c:v>5599733</c:v>
                </c:pt>
                <c:pt idx="5">
                  <c:v>7643000</c:v>
                </c:pt>
                <c:pt idx="6">
                  <c:v>3290000</c:v>
                </c:pt>
                <c:pt idx="7">
                  <c:v>4878000</c:v>
                </c:pt>
                <c:pt idx="8">
                  <c:v>48298911</c:v>
                </c:pt>
                <c:pt idx="9">
                  <c:v>57305201</c:v>
                </c:pt>
                <c:pt idx="10">
                  <c:v>9822000</c:v>
                </c:pt>
                <c:pt idx="11">
                  <c:v>4625398</c:v>
                </c:pt>
                <c:pt idx="12">
                  <c:v>2805839</c:v>
                </c:pt>
                <c:pt idx="13">
                  <c:v>3600693</c:v>
                </c:pt>
                <c:pt idx="14">
                  <c:v>55026299</c:v>
                </c:pt>
                <c:pt idx="15">
                  <c:v>91457940</c:v>
                </c:pt>
                <c:pt idx="16">
                  <c:v>1719065</c:v>
                </c:pt>
                <c:pt idx="17">
                  <c:v>11553132</c:v>
                </c:pt>
                <c:pt idx="18">
                  <c:v>4403000</c:v>
                </c:pt>
                <c:pt idx="19">
                  <c:v>4049449</c:v>
                </c:pt>
                <c:pt idx="20">
                  <c:v>31989000</c:v>
                </c:pt>
                <c:pt idx="21">
                  <c:v>1515329</c:v>
                </c:pt>
                <c:pt idx="22">
                  <c:v>26990456</c:v>
                </c:pt>
                <c:pt idx="23">
                  <c:v>36343283</c:v>
                </c:pt>
                <c:pt idx="24">
                  <c:v>6363944</c:v>
                </c:pt>
                <c:pt idx="25">
                  <c:v>6371545</c:v>
                </c:pt>
                <c:pt idx="26">
                  <c:v>39890719</c:v>
                </c:pt>
                <c:pt idx="27">
                  <c:v>299267114</c:v>
                </c:pt>
              </c:numCache>
            </c:numRef>
          </c:val>
          <c:extLst>
            <c:ext xmlns:c16="http://schemas.microsoft.com/office/drawing/2014/chart" uri="{C3380CC4-5D6E-409C-BE32-E72D297353CC}">
              <c16:uniqueId val="{00000002-ED39-4D2B-8D6C-571C81B1689B}"/>
            </c:ext>
          </c:extLst>
        </c:ser>
        <c:ser>
          <c:idx val="3"/>
          <c:order val="3"/>
          <c:tx>
            <c:strRef>
              <c:f>Sheet5!$W$1</c:f>
              <c:strCache>
                <c:ptCount val="1"/>
                <c:pt idx="0">
                  <c:v>Count of No. of registered vehicles, 2015</c:v>
                </c:pt>
              </c:strCache>
            </c:strRef>
          </c:tx>
          <c:spPr>
            <a:solidFill>
              <a:schemeClr val="accent4"/>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Sheet5!$W$2:$W$30</c:f>
              <c:numCache>
                <c:formatCode>General</c:formatCode>
                <c:ptCount val="2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numCache>
            </c:numRef>
          </c:val>
          <c:extLst>
            <c:ext xmlns:c16="http://schemas.microsoft.com/office/drawing/2014/chart" uri="{C3380CC4-5D6E-409C-BE32-E72D297353CC}">
              <c16:uniqueId val="{00000003-ED39-4D2B-8D6C-571C81B1689B}"/>
            </c:ext>
          </c:extLst>
        </c:ser>
        <c:ser>
          <c:idx val="4"/>
          <c:order val="4"/>
          <c:tx>
            <c:strRef>
              <c:f>Sheet5!$X$1</c:f>
              <c:strCache>
                <c:ptCount val="1"/>
                <c:pt idx="0">
                  <c:v>Sum of Vehicle miles traveled (in billions), 2015</c:v>
                </c:pt>
              </c:strCache>
            </c:strRef>
          </c:tx>
          <c:spPr>
            <a:solidFill>
              <a:schemeClr val="accent5"/>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Sheet5!$X$2:$X$30</c:f>
              <c:numCache>
                <c:formatCode>General</c:formatCode>
                <c:ptCount val="28"/>
                <c:pt idx="0">
                  <c:v>154.4</c:v>
                </c:pt>
                <c:pt idx="1">
                  <c:v>47.9</c:v>
                </c:pt>
                <c:pt idx="2">
                  <c:v>62.3</c:v>
                </c:pt>
                <c:pt idx="3">
                  <c:v>227.3</c:v>
                </c:pt>
                <c:pt idx="4">
                  <c:v>282</c:v>
                </c:pt>
                <c:pt idx="5">
                  <c:v>31.7</c:v>
                </c:pt>
                <c:pt idx="6">
                  <c:v>32.4</c:v>
                </c:pt>
                <c:pt idx="7">
                  <c:v>282</c:v>
                </c:pt>
                <c:pt idx="8">
                  <c:v>375.2</c:v>
                </c:pt>
                <c:pt idx="9">
                  <c:v>282</c:v>
                </c:pt>
                <c:pt idx="10">
                  <c:v>282</c:v>
                </c:pt>
                <c:pt idx="11">
                  <c:v>282</c:v>
                </c:pt>
                <c:pt idx="12">
                  <c:v>28.6</c:v>
                </c:pt>
                <c:pt idx="13">
                  <c:v>34.1</c:v>
                </c:pt>
                <c:pt idx="14">
                  <c:v>282</c:v>
                </c:pt>
                <c:pt idx="15">
                  <c:v>454.2</c:v>
                </c:pt>
                <c:pt idx="16">
                  <c:v>282</c:v>
                </c:pt>
                <c:pt idx="17">
                  <c:v>80.5</c:v>
                </c:pt>
                <c:pt idx="18">
                  <c:v>26.9</c:v>
                </c:pt>
                <c:pt idx="19">
                  <c:v>27.5</c:v>
                </c:pt>
                <c:pt idx="20">
                  <c:v>138</c:v>
                </c:pt>
                <c:pt idx="21">
                  <c:v>282</c:v>
                </c:pt>
                <c:pt idx="22">
                  <c:v>185.4</c:v>
                </c:pt>
                <c:pt idx="23">
                  <c:v>282</c:v>
                </c:pt>
                <c:pt idx="24">
                  <c:v>50.2</c:v>
                </c:pt>
                <c:pt idx="25">
                  <c:v>40.6</c:v>
                </c:pt>
                <c:pt idx="26">
                  <c:v>282</c:v>
                </c:pt>
                <c:pt idx="27">
                  <c:v>3089.8</c:v>
                </c:pt>
              </c:numCache>
            </c:numRef>
          </c:val>
          <c:extLst>
            <c:ext xmlns:c16="http://schemas.microsoft.com/office/drawing/2014/chart" uri="{C3380CC4-5D6E-409C-BE32-E72D297353CC}">
              <c16:uniqueId val="{00000004-ED39-4D2B-8D6C-571C81B1689B}"/>
            </c:ext>
          </c:extLst>
        </c:ser>
        <c:ser>
          <c:idx val="5"/>
          <c:order val="5"/>
          <c:tx>
            <c:strRef>
              <c:f>Sheet5!$Y$1</c:f>
              <c:strCache>
                <c:ptCount val="1"/>
                <c:pt idx="0">
                  <c:v>Sum of Vehicle miles traveled  (in billions), 2019</c:v>
                </c:pt>
              </c:strCache>
            </c:strRef>
          </c:tx>
          <c:spPr>
            <a:solidFill>
              <a:schemeClr val="accent6"/>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Sheet5!$Y$2:$Y$30</c:f>
              <c:numCache>
                <c:formatCode>General</c:formatCode>
                <c:ptCount val="28"/>
                <c:pt idx="0">
                  <c:v>162.80000000000001</c:v>
                </c:pt>
                <c:pt idx="1">
                  <c:v>52.8</c:v>
                </c:pt>
                <c:pt idx="2">
                  <c:v>279</c:v>
                </c:pt>
                <c:pt idx="3">
                  <c:v>248.3</c:v>
                </c:pt>
                <c:pt idx="4">
                  <c:v>278</c:v>
                </c:pt>
                <c:pt idx="5">
                  <c:v>35.700000000000003</c:v>
                </c:pt>
                <c:pt idx="6">
                  <c:v>34.200000000000003</c:v>
                </c:pt>
                <c:pt idx="7">
                  <c:v>31.3</c:v>
                </c:pt>
                <c:pt idx="8">
                  <c:v>382.4</c:v>
                </c:pt>
                <c:pt idx="9">
                  <c:v>469.1</c:v>
                </c:pt>
                <c:pt idx="10">
                  <c:v>278</c:v>
                </c:pt>
                <c:pt idx="11">
                  <c:v>29.3</c:v>
                </c:pt>
                <c:pt idx="12">
                  <c:v>29.2</c:v>
                </c:pt>
                <c:pt idx="13">
                  <c:v>39.299999999999997</c:v>
                </c:pt>
                <c:pt idx="14">
                  <c:v>279</c:v>
                </c:pt>
                <c:pt idx="15">
                  <c:v>462.7</c:v>
                </c:pt>
                <c:pt idx="16">
                  <c:v>278</c:v>
                </c:pt>
                <c:pt idx="17">
                  <c:v>85.5</c:v>
                </c:pt>
                <c:pt idx="18">
                  <c:v>30.4</c:v>
                </c:pt>
                <c:pt idx="19">
                  <c:v>28.7</c:v>
                </c:pt>
                <c:pt idx="20">
                  <c:v>155.1</c:v>
                </c:pt>
                <c:pt idx="21">
                  <c:v>14</c:v>
                </c:pt>
                <c:pt idx="22">
                  <c:v>204.8</c:v>
                </c:pt>
                <c:pt idx="23">
                  <c:v>278</c:v>
                </c:pt>
                <c:pt idx="24">
                  <c:v>52</c:v>
                </c:pt>
                <c:pt idx="25">
                  <c:v>43.1</c:v>
                </c:pt>
                <c:pt idx="26">
                  <c:v>278</c:v>
                </c:pt>
                <c:pt idx="27">
                  <c:v>3261.8</c:v>
                </c:pt>
              </c:numCache>
            </c:numRef>
          </c:val>
          <c:extLst>
            <c:ext xmlns:c16="http://schemas.microsoft.com/office/drawing/2014/chart" uri="{C3380CC4-5D6E-409C-BE32-E72D297353CC}">
              <c16:uniqueId val="{00000005-ED39-4D2B-8D6C-571C81B1689B}"/>
            </c:ext>
          </c:extLst>
        </c:ser>
        <c:ser>
          <c:idx val="6"/>
          <c:order val="6"/>
          <c:tx>
            <c:strRef>
              <c:f>Sheet5!$Z$1</c:f>
              <c:strCache>
                <c:ptCount val="1"/>
                <c:pt idx="0">
                  <c:v>Sum of MVC deaths  per 100 million vehicle mile traveled 2015</c:v>
                </c:pt>
              </c:strCache>
            </c:strRef>
          </c:tx>
          <c:spPr>
            <a:solidFill>
              <a:schemeClr val="accent1">
                <a:lumMod val="60000"/>
              </a:schemeClr>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Sheet5!$Z$2:$Z$30</c:f>
              <c:numCache>
                <c:formatCode>General</c:formatCode>
                <c:ptCount val="28"/>
                <c:pt idx="0">
                  <c:v>0.78</c:v>
                </c:pt>
                <c:pt idx="1">
                  <c:v>1</c:v>
                </c:pt>
                <c:pt idx="2">
                  <c:v>1.22</c:v>
                </c:pt>
                <c:pt idx="3">
                  <c:v>0.83</c:v>
                </c:pt>
                <c:pt idx="4">
                  <c:v>1.0900000000000001</c:v>
                </c:pt>
                <c:pt idx="5">
                  <c:v>2.3199999999999998</c:v>
                </c:pt>
                <c:pt idx="6">
                  <c:v>0.55000000000000004</c:v>
                </c:pt>
                <c:pt idx="7">
                  <c:v>1.0900000000000001</c:v>
                </c:pt>
                <c:pt idx="8">
                  <c:v>0.92</c:v>
                </c:pt>
                <c:pt idx="9">
                  <c:v>1.0900000000000001</c:v>
                </c:pt>
                <c:pt idx="10">
                  <c:v>1.0900000000000001</c:v>
                </c:pt>
                <c:pt idx="11">
                  <c:v>1.0900000000000001</c:v>
                </c:pt>
                <c:pt idx="12">
                  <c:v>0.56999999999999995</c:v>
                </c:pt>
                <c:pt idx="13">
                  <c:v>1.05</c:v>
                </c:pt>
                <c:pt idx="14">
                  <c:v>1.0900000000000001</c:v>
                </c:pt>
                <c:pt idx="15">
                  <c:v>1.08</c:v>
                </c:pt>
                <c:pt idx="16">
                  <c:v>1.0900000000000001</c:v>
                </c:pt>
                <c:pt idx="17">
                  <c:v>0.77</c:v>
                </c:pt>
                <c:pt idx="18">
                  <c:v>1.18</c:v>
                </c:pt>
                <c:pt idx="19">
                  <c:v>0.43</c:v>
                </c:pt>
                <c:pt idx="20">
                  <c:v>2.13</c:v>
                </c:pt>
                <c:pt idx="21">
                  <c:v>1.0900000000000001</c:v>
                </c:pt>
                <c:pt idx="22">
                  <c:v>2.4900000000000002</c:v>
                </c:pt>
                <c:pt idx="23">
                  <c:v>1.0900000000000001</c:v>
                </c:pt>
                <c:pt idx="24">
                  <c:v>0.52</c:v>
                </c:pt>
                <c:pt idx="25">
                  <c:v>0.62</c:v>
                </c:pt>
                <c:pt idx="26">
                  <c:v>1.0900000000000001</c:v>
                </c:pt>
                <c:pt idx="27">
                  <c:v>1.1499999999999999</c:v>
                </c:pt>
              </c:numCache>
            </c:numRef>
          </c:val>
          <c:extLst>
            <c:ext xmlns:c16="http://schemas.microsoft.com/office/drawing/2014/chart" uri="{C3380CC4-5D6E-409C-BE32-E72D297353CC}">
              <c16:uniqueId val="{00000006-ED39-4D2B-8D6C-571C81B1689B}"/>
            </c:ext>
          </c:extLst>
        </c:ser>
        <c:ser>
          <c:idx val="7"/>
          <c:order val="7"/>
          <c:tx>
            <c:strRef>
              <c:f>Sheet5!$AA$1</c:f>
              <c:strCache>
                <c:ptCount val="1"/>
                <c:pt idx="0">
                  <c:v>Sum of MVC deaths  per 100 million vehicle miles traveled2019</c:v>
                </c:pt>
              </c:strCache>
            </c:strRef>
          </c:tx>
          <c:spPr>
            <a:solidFill>
              <a:schemeClr val="accent2">
                <a:lumMod val="60000"/>
              </a:schemeClr>
            </a:solidFill>
            <a:ln>
              <a:noFill/>
            </a:ln>
            <a:effectLst/>
          </c:spPr>
          <c:invertIfNegative val="0"/>
          <c:cat>
            <c:strRef>
              <c:f>Sheet5!$S$2:$S$30</c:f>
              <c:strCache>
                <c:ptCount val="28"/>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Slovenia†††</c:v>
                </c:pt>
                <c:pt idx="22">
                  <c:v>South Korea</c:v>
                </c:pt>
                <c:pt idx="23">
                  <c:v>Spain</c:v>
                </c:pt>
                <c:pt idx="24">
                  <c:v>Sweden</c:v>
                </c:pt>
                <c:pt idx="25">
                  <c:v>Switzerland</c:v>
                </c:pt>
                <c:pt idx="26">
                  <c:v>United Kingdom</c:v>
                </c:pt>
                <c:pt idx="27">
                  <c:v>United States</c:v>
                </c:pt>
              </c:strCache>
            </c:strRef>
          </c:cat>
          <c:val>
            <c:numRef>
              <c:f>Sheet5!$AA$2:$AA$30</c:f>
              <c:numCache>
                <c:formatCode>General</c:formatCode>
                <c:ptCount val="28"/>
                <c:pt idx="0">
                  <c:v>0.73</c:v>
                </c:pt>
                <c:pt idx="1">
                  <c:v>0.79</c:v>
                </c:pt>
                <c:pt idx="2">
                  <c:v>0.9</c:v>
                </c:pt>
                <c:pt idx="3">
                  <c:v>0.71</c:v>
                </c:pt>
                <c:pt idx="4">
                  <c:v>0.9</c:v>
                </c:pt>
                <c:pt idx="5">
                  <c:v>1.73</c:v>
                </c:pt>
                <c:pt idx="6">
                  <c:v>0.57999999999999996</c:v>
                </c:pt>
                <c:pt idx="7">
                  <c:v>0.67</c:v>
                </c:pt>
                <c:pt idx="8">
                  <c:v>0.85</c:v>
                </c:pt>
                <c:pt idx="9">
                  <c:v>0.65</c:v>
                </c:pt>
                <c:pt idx="10">
                  <c:v>0.9</c:v>
                </c:pt>
                <c:pt idx="11">
                  <c:v>2.0499999999999998</c:v>
                </c:pt>
                <c:pt idx="12">
                  <c:v>0.48</c:v>
                </c:pt>
                <c:pt idx="13">
                  <c:v>0.9</c:v>
                </c:pt>
                <c:pt idx="14">
                  <c:v>0.9</c:v>
                </c:pt>
                <c:pt idx="15">
                  <c:v>0.85</c:v>
                </c:pt>
                <c:pt idx="16">
                  <c:v>0.9</c:v>
                </c:pt>
                <c:pt idx="17">
                  <c:v>0.77</c:v>
                </c:pt>
                <c:pt idx="18">
                  <c:v>1.1599999999999999</c:v>
                </c:pt>
                <c:pt idx="19">
                  <c:v>0.38</c:v>
                </c:pt>
                <c:pt idx="20">
                  <c:v>1.88</c:v>
                </c:pt>
                <c:pt idx="21">
                  <c:v>0.73</c:v>
                </c:pt>
                <c:pt idx="22">
                  <c:v>1.64</c:v>
                </c:pt>
                <c:pt idx="23">
                  <c:v>0.9</c:v>
                </c:pt>
                <c:pt idx="24">
                  <c:v>0.42</c:v>
                </c:pt>
                <c:pt idx="25">
                  <c:v>0.43</c:v>
                </c:pt>
                <c:pt idx="26">
                  <c:v>0.9</c:v>
                </c:pt>
                <c:pt idx="27">
                  <c:v>1.1100000000000001</c:v>
                </c:pt>
              </c:numCache>
            </c:numRef>
          </c:val>
          <c:extLst>
            <c:ext xmlns:c16="http://schemas.microsoft.com/office/drawing/2014/chart" uri="{C3380CC4-5D6E-409C-BE32-E72D297353CC}">
              <c16:uniqueId val="{00000007-ED39-4D2B-8D6C-571C81B1689B}"/>
            </c:ext>
          </c:extLst>
        </c:ser>
        <c:dLbls>
          <c:showLegendKey val="0"/>
          <c:showVal val="0"/>
          <c:showCatName val="0"/>
          <c:showSerName val="0"/>
          <c:showPercent val="0"/>
          <c:showBubbleSize val="0"/>
        </c:dLbls>
        <c:gapWidth val="150"/>
        <c:axId val="415079471"/>
        <c:axId val="415080431"/>
      </c:barChart>
      <c:catAx>
        <c:axId val="415079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80431"/>
        <c:crosses val="autoZero"/>
        <c:auto val="1"/>
        <c:lblAlgn val="ctr"/>
        <c:lblOffset val="100"/>
        <c:noMultiLvlLbl val="0"/>
      </c:catAx>
      <c:valAx>
        <c:axId val="41508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[Motor Vehicle International VBA WORK.xlsm]PIVOT FOR DEATHS!PivotTable10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SUMMARY CHART FOR DEATHS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FOR DEATHS'!$Z$1</c:f>
              <c:strCache>
                <c:ptCount val="1"/>
                <c:pt idx="0">
                  <c:v>Sum of MVC Deaths 2015</c:v>
                </c:pt>
              </c:strCache>
            </c:strRef>
          </c:tx>
          <c:spPr>
            <a:solidFill>
              <a:schemeClr val="accent1"/>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DEATHS'!$Z$2:$Z$31</c:f>
              <c:numCache>
                <c:formatCode>General</c:formatCode>
                <c:ptCount val="29"/>
                <c:pt idx="0">
                  <c:v>1205</c:v>
                </c:pt>
                <c:pt idx="1">
                  <c:v>479</c:v>
                </c:pt>
                <c:pt idx="2">
                  <c:v>762</c:v>
                </c:pt>
                <c:pt idx="3">
                  <c:v>1887</c:v>
                </c:pt>
                <c:pt idx="4">
                  <c:v>2563</c:v>
                </c:pt>
                <c:pt idx="5">
                  <c:v>735</c:v>
                </c:pt>
                <c:pt idx="6">
                  <c:v>178</c:v>
                </c:pt>
                <c:pt idx="7">
                  <c:v>270</c:v>
                </c:pt>
                <c:pt idx="8">
                  <c:v>3461</c:v>
                </c:pt>
                <c:pt idx="9">
                  <c:v>3459</c:v>
                </c:pt>
                <c:pt idx="10">
                  <c:v>793</c:v>
                </c:pt>
                <c:pt idx="11">
                  <c:v>648</c:v>
                </c:pt>
                <c:pt idx="12">
                  <c:v>162</c:v>
                </c:pt>
                <c:pt idx="13">
                  <c:v>356</c:v>
                </c:pt>
                <c:pt idx="14">
                  <c:v>3428</c:v>
                </c:pt>
                <c:pt idx="15">
                  <c:v>4885</c:v>
                </c:pt>
                <c:pt idx="16">
                  <c:v>239</c:v>
                </c:pt>
                <c:pt idx="17">
                  <c:v>621</c:v>
                </c:pt>
                <c:pt idx="18">
                  <c:v>318</c:v>
                </c:pt>
                <c:pt idx="19">
                  <c:v>117</c:v>
                </c:pt>
                <c:pt idx="20">
                  <c:v>2938</c:v>
                </c:pt>
                <c:pt idx="21">
                  <c:v>593</c:v>
                </c:pt>
                <c:pt idx="22">
                  <c:v>120</c:v>
                </c:pt>
                <c:pt idx="23">
                  <c:v>4621</c:v>
                </c:pt>
                <c:pt idx="24">
                  <c:v>1689</c:v>
                </c:pt>
                <c:pt idx="25">
                  <c:v>259</c:v>
                </c:pt>
                <c:pt idx="26">
                  <c:v>253</c:v>
                </c:pt>
                <c:pt idx="27">
                  <c:v>1804</c:v>
                </c:pt>
                <c:pt idx="28">
                  <c:v>35484</c:v>
                </c:pt>
              </c:numCache>
            </c:numRef>
          </c:val>
          <c:extLst>
            <c:ext xmlns:c16="http://schemas.microsoft.com/office/drawing/2014/chart" uri="{C3380CC4-5D6E-409C-BE32-E72D297353CC}">
              <c16:uniqueId val="{00000000-900F-45B3-B0E8-64438E14297E}"/>
            </c:ext>
          </c:extLst>
        </c:ser>
        <c:ser>
          <c:idx val="1"/>
          <c:order val="1"/>
          <c:tx>
            <c:strRef>
              <c:f>'PIVOT FOR DEATHS'!$AA$1</c:f>
              <c:strCache>
                <c:ptCount val="1"/>
                <c:pt idx="0">
                  <c:v>Sum of MVC Deaths 2019</c:v>
                </c:pt>
              </c:strCache>
            </c:strRef>
          </c:tx>
          <c:spPr>
            <a:solidFill>
              <a:schemeClr val="accent2"/>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DEATHS'!$AA$2:$AA$31</c:f>
              <c:numCache>
                <c:formatCode>General</c:formatCode>
                <c:ptCount val="29"/>
                <c:pt idx="0">
                  <c:v>1187</c:v>
                </c:pt>
                <c:pt idx="1">
                  <c:v>416</c:v>
                </c:pt>
                <c:pt idx="2">
                  <c:v>644</c:v>
                </c:pt>
                <c:pt idx="3">
                  <c:v>1762</c:v>
                </c:pt>
                <c:pt idx="4">
                  <c:v>1973</c:v>
                </c:pt>
                <c:pt idx="5">
                  <c:v>617</c:v>
                </c:pt>
                <c:pt idx="6">
                  <c:v>199</c:v>
                </c:pt>
                <c:pt idx="7">
                  <c:v>211</c:v>
                </c:pt>
                <c:pt idx="8">
                  <c:v>3244</c:v>
                </c:pt>
                <c:pt idx="9">
                  <c:v>3046</c:v>
                </c:pt>
                <c:pt idx="10">
                  <c:v>688</c:v>
                </c:pt>
                <c:pt idx="11">
                  <c:v>602</c:v>
                </c:pt>
                <c:pt idx="12">
                  <c:v>140</c:v>
                </c:pt>
                <c:pt idx="13">
                  <c:v>355</c:v>
                </c:pt>
                <c:pt idx="14">
                  <c:v>3173</c:v>
                </c:pt>
                <c:pt idx="15">
                  <c:v>3920</c:v>
                </c:pt>
                <c:pt idx="16">
                  <c:v>186</c:v>
                </c:pt>
                <c:pt idx="17">
                  <c:v>661</c:v>
                </c:pt>
                <c:pt idx="18">
                  <c:v>352</c:v>
                </c:pt>
                <c:pt idx="19">
                  <c:v>108</c:v>
                </c:pt>
                <c:pt idx="20">
                  <c:v>2909</c:v>
                </c:pt>
                <c:pt idx="21">
                  <c:v>621</c:v>
                </c:pt>
                <c:pt idx="22">
                  <c:v>102</c:v>
                </c:pt>
                <c:pt idx="23">
                  <c:v>3349</c:v>
                </c:pt>
                <c:pt idx="24">
                  <c:v>1755</c:v>
                </c:pt>
                <c:pt idx="25">
                  <c:v>221</c:v>
                </c:pt>
                <c:pt idx="26">
                  <c:v>187</c:v>
                </c:pt>
                <c:pt idx="27">
                  <c:v>1808</c:v>
                </c:pt>
                <c:pt idx="28">
                  <c:v>36355</c:v>
                </c:pt>
              </c:numCache>
            </c:numRef>
          </c:val>
          <c:extLst>
            <c:ext xmlns:c16="http://schemas.microsoft.com/office/drawing/2014/chart" uri="{C3380CC4-5D6E-409C-BE32-E72D297353CC}">
              <c16:uniqueId val="{00000001-900F-45B3-B0E8-64438E14297E}"/>
            </c:ext>
          </c:extLst>
        </c:ser>
        <c:ser>
          <c:idx val="2"/>
          <c:order val="2"/>
          <c:tx>
            <c:strRef>
              <c:f>'PIVOT FOR DEATHS'!$AB$1</c:f>
              <c:strCache>
                <c:ptCount val="1"/>
                <c:pt idx="0">
                  <c:v>Sum of Population, 2015</c:v>
                </c:pt>
              </c:strCache>
            </c:strRef>
          </c:tx>
          <c:spPr>
            <a:solidFill>
              <a:schemeClr val="accent3"/>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DEATHS'!$AB$2:$AB$31</c:f>
              <c:numCache>
                <c:formatCode>General</c:formatCode>
                <c:ptCount val="29"/>
                <c:pt idx="0">
                  <c:v>23815995</c:v>
                </c:pt>
                <c:pt idx="1">
                  <c:v>8584926</c:v>
                </c:pt>
                <c:pt idx="2">
                  <c:v>11237274</c:v>
                </c:pt>
                <c:pt idx="3">
                  <c:v>35826748</c:v>
                </c:pt>
                <c:pt idx="4">
                  <c:v>18006407</c:v>
                </c:pt>
                <c:pt idx="5">
                  <c:v>10538275</c:v>
                </c:pt>
                <c:pt idx="6">
                  <c:v>5659715</c:v>
                </c:pt>
                <c:pt idx="7">
                  <c:v>5471753</c:v>
                </c:pt>
                <c:pt idx="8">
                  <c:v>64300821</c:v>
                </c:pt>
                <c:pt idx="9">
                  <c:v>81197537</c:v>
                </c:pt>
                <c:pt idx="10">
                  <c:v>10858018</c:v>
                </c:pt>
                <c:pt idx="11">
                  <c:v>9855571</c:v>
                </c:pt>
                <c:pt idx="12">
                  <c:v>4677627</c:v>
                </c:pt>
                <c:pt idx="13">
                  <c:v>8463400</c:v>
                </c:pt>
                <c:pt idx="14">
                  <c:v>60795612</c:v>
                </c:pt>
                <c:pt idx="15">
                  <c:v>127095000</c:v>
                </c:pt>
                <c:pt idx="16">
                  <c:v>2921262</c:v>
                </c:pt>
                <c:pt idx="17">
                  <c:v>16900726</c:v>
                </c:pt>
                <c:pt idx="18">
                  <c:v>4596700</c:v>
                </c:pt>
                <c:pt idx="19">
                  <c:v>5165802</c:v>
                </c:pt>
                <c:pt idx="20">
                  <c:v>38005614</c:v>
                </c:pt>
                <c:pt idx="21">
                  <c:v>10374822</c:v>
                </c:pt>
                <c:pt idx="22">
                  <c:v>2062874</c:v>
                </c:pt>
                <c:pt idx="23">
                  <c:v>51014947</c:v>
                </c:pt>
                <c:pt idx="24">
                  <c:v>46449565</c:v>
                </c:pt>
                <c:pt idx="25">
                  <c:v>9747355</c:v>
                </c:pt>
                <c:pt idx="26">
                  <c:v>8237666</c:v>
                </c:pt>
                <c:pt idx="27">
                  <c:v>65110034</c:v>
                </c:pt>
                <c:pt idx="28">
                  <c:v>320635163</c:v>
                </c:pt>
              </c:numCache>
            </c:numRef>
          </c:val>
          <c:extLst>
            <c:ext xmlns:c16="http://schemas.microsoft.com/office/drawing/2014/chart" uri="{C3380CC4-5D6E-409C-BE32-E72D297353CC}">
              <c16:uniqueId val="{00000002-900F-45B3-B0E8-64438E14297E}"/>
            </c:ext>
          </c:extLst>
        </c:ser>
        <c:ser>
          <c:idx val="3"/>
          <c:order val="3"/>
          <c:tx>
            <c:strRef>
              <c:f>'PIVOT FOR DEATHS'!$AC$1</c:f>
              <c:strCache>
                <c:ptCount val="1"/>
                <c:pt idx="0">
                  <c:v>Sum of Population, 2019</c:v>
                </c:pt>
              </c:strCache>
            </c:strRef>
          </c:tx>
          <c:spPr>
            <a:solidFill>
              <a:schemeClr val="accent4"/>
            </a:solidFill>
            <a:ln>
              <a:noFill/>
            </a:ln>
            <a:effectLst/>
          </c:spPr>
          <c:invertIfNegative val="0"/>
          <c:cat>
            <c:strRef>
              <c:f>'PIVOT FOR DEATHS'!$Y$2:$Y$31</c:f>
              <c:strCache>
                <c:ptCount val="29"/>
                <c:pt idx="0">
                  <c:v>Australia</c:v>
                </c:pt>
                <c:pt idx="1">
                  <c:v>Austria</c:v>
                </c:pt>
                <c:pt idx="2">
                  <c:v>Belgium</c:v>
                </c:pt>
                <c:pt idx="3">
                  <c:v>Canada</c:v>
                </c:pt>
                <c:pt idx="4">
                  <c:v>Chile††</c:v>
                </c:pt>
                <c:pt idx="5">
                  <c:v>Czechia</c:v>
                </c:pt>
                <c:pt idx="6">
                  <c:v>Denmark</c:v>
                </c:pt>
                <c:pt idx="7">
                  <c:v>Finland</c:v>
                </c:pt>
                <c:pt idx="8">
                  <c:v>France</c:v>
                </c:pt>
                <c:pt idx="9">
                  <c:v>Germany</c:v>
                </c:pt>
                <c:pt idx="10">
                  <c:v>Greece</c:v>
                </c:pt>
                <c:pt idx="11">
                  <c:v>Hungary</c:v>
                </c:pt>
                <c:pt idx="12">
                  <c:v>Ireland</c:v>
                </c:pt>
                <c:pt idx="13">
                  <c:v>Israel</c:v>
                </c:pt>
                <c:pt idx="14">
                  <c:v>Italy</c:v>
                </c:pt>
                <c:pt idx="15">
                  <c:v>Japan</c:v>
                </c:pt>
                <c:pt idx="16">
                  <c:v>Lithuania</c:v>
                </c:pt>
                <c:pt idx="17">
                  <c:v>Netherlands</c:v>
                </c:pt>
                <c:pt idx="18">
                  <c:v>New Zealand</c:v>
                </c:pt>
                <c:pt idx="19">
                  <c:v>Norway</c:v>
                </c:pt>
                <c:pt idx="20">
                  <c:v>Poland</c:v>
                </c:pt>
                <c:pt idx="21">
                  <c:v>Portugal</c:v>
                </c:pt>
                <c:pt idx="22">
                  <c:v>Slovenia</c:v>
                </c:pt>
                <c:pt idx="23">
                  <c:v>South Korea</c:v>
                </c:pt>
                <c:pt idx="24">
                  <c:v>Spain</c:v>
                </c:pt>
                <c:pt idx="25">
                  <c:v>Sweden</c:v>
                </c:pt>
                <c:pt idx="26">
                  <c:v>Switzerland</c:v>
                </c:pt>
                <c:pt idx="27">
                  <c:v>United Kingdom</c:v>
                </c:pt>
                <c:pt idx="28">
                  <c:v>United States</c:v>
                </c:pt>
              </c:strCache>
            </c:strRef>
          </c:cat>
          <c:val>
            <c:numRef>
              <c:f>'PIVOT FOR DEATHS'!$AC$2:$AC$31</c:f>
              <c:numCache>
                <c:formatCode>General</c:formatCode>
                <c:ptCount val="29"/>
                <c:pt idx="0">
                  <c:v>25365571</c:v>
                </c:pt>
                <c:pt idx="1">
                  <c:v>8858775</c:v>
                </c:pt>
                <c:pt idx="2">
                  <c:v>11455519</c:v>
                </c:pt>
                <c:pt idx="3">
                  <c:v>37593384</c:v>
                </c:pt>
                <c:pt idx="4">
                  <c:v>18726548</c:v>
                </c:pt>
                <c:pt idx="5">
                  <c:v>10649800</c:v>
                </c:pt>
                <c:pt idx="6">
                  <c:v>5806081</c:v>
                </c:pt>
                <c:pt idx="7">
                  <c:v>5517919</c:v>
                </c:pt>
                <c:pt idx="8">
                  <c:v>64812052</c:v>
                </c:pt>
                <c:pt idx="9">
                  <c:v>83019213</c:v>
                </c:pt>
                <c:pt idx="10">
                  <c:v>10724599</c:v>
                </c:pt>
                <c:pt idx="11">
                  <c:v>9772756</c:v>
                </c:pt>
                <c:pt idx="12">
                  <c:v>4904240</c:v>
                </c:pt>
                <c:pt idx="13">
                  <c:v>9054100</c:v>
                </c:pt>
                <c:pt idx="14">
                  <c:v>60359546</c:v>
                </c:pt>
                <c:pt idx="15">
                  <c:v>126167000</c:v>
                </c:pt>
                <c:pt idx="16">
                  <c:v>2794184</c:v>
                </c:pt>
                <c:pt idx="17">
                  <c:v>17282163</c:v>
                </c:pt>
                <c:pt idx="18">
                  <c:v>4979200</c:v>
                </c:pt>
                <c:pt idx="19">
                  <c:v>5328212</c:v>
                </c:pt>
                <c:pt idx="20">
                  <c:v>37972812</c:v>
                </c:pt>
                <c:pt idx="21">
                  <c:v>10276617</c:v>
                </c:pt>
                <c:pt idx="22">
                  <c:v>2080908</c:v>
                </c:pt>
                <c:pt idx="23">
                  <c:v>51709098</c:v>
                </c:pt>
                <c:pt idx="24">
                  <c:v>46937060</c:v>
                </c:pt>
                <c:pt idx="25">
                  <c:v>10230185</c:v>
                </c:pt>
                <c:pt idx="26">
                  <c:v>8544527</c:v>
                </c:pt>
                <c:pt idx="27">
                  <c:v>66796807</c:v>
                </c:pt>
                <c:pt idx="28">
                  <c:v>328239523</c:v>
                </c:pt>
              </c:numCache>
            </c:numRef>
          </c:val>
          <c:extLst>
            <c:ext xmlns:c16="http://schemas.microsoft.com/office/drawing/2014/chart" uri="{C3380CC4-5D6E-409C-BE32-E72D297353CC}">
              <c16:uniqueId val="{00000003-900F-45B3-B0E8-64438E14297E}"/>
            </c:ext>
          </c:extLst>
        </c:ser>
        <c:dLbls>
          <c:showLegendKey val="0"/>
          <c:showVal val="0"/>
          <c:showCatName val="0"/>
          <c:showSerName val="0"/>
          <c:showPercent val="0"/>
          <c:showBubbleSize val="0"/>
        </c:dLbls>
        <c:gapWidth val="150"/>
        <c:axId val="625435423"/>
        <c:axId val="625441183"/>
      </c:barChart>
      <c:catAx>
        <c:axId val="6254354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41183"/>
        <c:crosses val="autoZero"/>
        <c:auto val="1"/>
        <c:lblAlgn val="ctr"/>
        <c:lblOffset val="100"/>
        <c:noMultiLvlLbl val="0"/>
      </c:catAx>
      <c:valAx>
        <c:axId val="62544118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435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50800" dir="5400000" algn="ctr" rotWithShape="0">
        <a:schemeClr val="accent2"/>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31</xdr:row>
      <xdr:rowOff>47625</xdr:rowOff>
    </xdr:from>
    <xdr:to>
      <xdr:col>2</xdr:col>
      <xdr:colOff>1504950</xdr:colOff>
      <xdr:row>48</xdr:row>
      <xdr:rowOff>38100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419100</xdr:colOff>
      <xdr:row>31</xdr:row>
      <xdr:rowOff>28575</xdr:rowOff>
    </xdr:from>
    <xdr:to>
      <xdr:col>7</xdr:col>
      <xdr:colOff>276225</xdr:colOff>
      <xdr:row>48</xdr:row>
      <xdr:rowOff>19050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314325</xdr:colOff>
      <xdr:row>31</xdr:row>
      <xdr:rowOff>57150</xdr:rowOff>
    </xdr:from>
    <xdr:to>
      <xdr:col>10</xdr:col>
      <xdr:colOff>2343150</xdr:colOff>
      <xdr:row>48</xdr:row>
      <xdr:rowOff>47625</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161924</xdr:colOff>
      <xdr:row>31</xdr:row>
      <xdr:rowOff>66675</xdr:rowOff>
    </xdr:from>
    <xdr:to>
      <xdr:col>17</xdr:col>
      <xdr:colOff>2352674</xdr:colOff>
      <xdr:row>48</xdr:row>
      <xdr:rowOff>57150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571499</xdr:colOff>
      <xdr:row>33</xdr:row>
      <xdr:rowOff>95250</xdr:rowOff>
    </xdr:from>
    <xdr:to>
      <xdr:col>28</xdr:col>
      <xdr:colOff>1457324</xdr:colOff>
      <xdr:row>50</xdr:row>
      <xdr:rowOff>85725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20706</xdr:rowOff>
    </xdr:from>
    <xdr:to>
      <xdr:col>21</xdr:col>
      <xdr:colOff>176006</xdr:colOff>
      <xdr:row>35</xdr:row>
      <xdr:rowOff>20706</xdr:rowOff>
    </xdr:to>
    <xdr:sp macro="" textlink="">
      <xdr:nvSpPr>
        <xdr:cNvPr id="19" name="Rectangle 18">
          <a:extLst>
            <a:ext uri="{FF2B5EF4-FFF2-40B4-BE49-F238E27FC236}">
              <a16:creationId xmlns:a16="http://schemas.microsoft.com/office/drawing/2014/main" id="{00000000-0008-0000-0300-000013000000}"/>
            </a:ext>
          </a:extLst>
        </xdr:cNvPr>
        <xdr:cNvSpPr/>
      </xdr:nvSpPr>
      <xdr:spPr>
        <a:xfrm>
          <a:off x="0" y="20706"/>
          <a:ext cx="13003696" cy="5797826"/>
        </a:xfrm>
        <a:prstGeom prst="rect">
          <a:avLst/>
        </a:prstGeom>
        <a:solidFill>
          <a:schemeClr val="accent4">
            <a:lumMod val="20000"/>
            <a:lumOff val="80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baseline="0">
              <a:solidFill>
                <a:schemeClr val="tx2"/>
              </a:solidFill>
            </a:rPr>
            <a:t> </a:t>
          </a:r>
          <a:r>
            <a:rPr lang="en-GB" sz="1800" b="1">
              <a:solidFill>
                <a:schemeClr val="tx2"/>
              </a:solidFill>
            </a:rPr>
            <a:t>MOTOR VEHICLES INTERNATIONAL DASHBOARD FOR</a:t>
          </a:r>
          <a:r>
            <a:rPr lang="en-GB" sz="1800" b="1" baseline="0">
              <a:solidFill>
                <a:schemeClr val="tx2"/>
              </a:solidFill>
            </a:rPr>
            <a:t> DEATHS AND POPULATION</a:t>
          </a:r>
          <a:r>
            <a:rPr lang="en-GB" sz="1400" b="1" baseline="0">
              <a:solidFill>
                <a:schemeClr val="tx2"/>
              </a:solidFill>
            </a:rPr>
            <a:t>.</a:t>
          </a:r>
          <a:endParaRPr lang="en-GB" sz="1400" b="1">
            <a:solidFill>
              <a:schemeClr val="tx2"/>
            </a:solidFill>
          </a:endParaRPr>
        </a:p>
      </xdr:txBody>
    </xdr:sp>
    <xdr:clientData/>
  </xdr:twoCellAnchor>
  <xdr:twoCellAnchor>
    <xdr:from>
      <xdr:col>7</xdr:col>
      <xdr:colOff>245489</xdr:colOff>
      <xdr:row>2</xdr:row>
      <xdr:rowOff>127653</xdr:rowOff>
    </xdr:from>
    <xdr:to>
      <xdr:col>18</xdr:col>
      <xdr:colOff>109139</xdr:colOff>
      <xdr:row>19</xdr:row>
      <xdr:rowOff>33338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369492</xdr:colOff>
      <xdr:row>19</xdr:row>
      <xdr:rowOff>85428</xdr:rowOff>
    </xdr:from>
    <xdr:to>
      <xdr:col>15</xdr:col>
      <xdr:colOff>475320</xdr:colOff>
      <xdr:row>33</xdr:row>
      <xdr:rowOff>54874</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494106</xdr:colOff>
      <xdr:row>19</xdr:row>
      <xdr:rowOff>107643</xdr:rowOff>
    </xdr:from>
    <xdr:to>
      <xdr:col>20</xdr:col>
      <xdr:colOff>599934</xdr:colOff>
      <xdr:row>33</xdr:row>
      <xdr:rowOff>32658</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106363</xdr:colOff>
      <xdr:row>19</xdr:row>
      <xdr:rowOff>101401</xdr:rowOff>
    </xdr:from>
    <xdr:to>
      <xdr:col>5</xdr:col>
      <xdr:colOff>212191</xdr:colOff>
      <xdr:row>33</xdr:row>
      <xdr:rowOff>38901</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217885</xdr:colOff>
      <xdr:row>19</xdr:row>
      <xdr:rowOff>101401</xdr:rowOff>
    </xdr:from>
    <xdr:to>
      <xdr:col>10</xdr:col>
      <xdr:colOff>323713</xdr:colOff>
      <xdr:row>33</xdr:row>
      <xdr:rowOff>38901</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148826</xdr:colOff>
      <xdr:row>1</xdr:row>
      <xdr:rowOff>108017</xdr:rowOff>
    </xdr:from>
    <xdr:to>
      <xdr:col>20</xdr:col>
      <xdr:colOff>565545</xdr:colOff>
      <xdr:row>19</xdr:row>
      <xdr:rowOff>103535</xdr:rowOff>
    </xdr:to>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11107486" y="265130"/>
          <a:ext cx="1634348" cy="2823560"/>
        </a:xfrm>
        <a:prstGeom prst="roundRect">
          <a:avLst/>
        </a:prstGeom>
        <a:solidFill>
          <a:schemeClr val="bg2">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002060"/>
              </a:solidFill>
            </a:rPr>
            <a:t>KEY</a:t>
          </a:r>
          <a:r>
            <a:rPr lang="en-GB" sz="1100" baseline="0">
              <a:solidFill>
                <a:srgbClr val="002060"/>
              </a:solidFill>
            </a:rPr>
            <a:t> POINTS</a:t>
          </a:r>
        </a:p>
        <a:p>
          <a:pPr algn="ctr"/>
          <a:endParaRPr lang="en-GB" sz="1100" baseline="0">
            <a:solidFill>
              <a:srgbClr val="002060"/>
            </a:solidFill>
          </a:endParaRPr>
        </a:p>
        <a:p>
          <a:pPr algn="l"/>
          <a:r>
            <a:rPr lang="en-GB" sz="1100">
              <a:solidFill>
                <a:srgbClr val="002060"/>
              </a:solidFill>
            </a:rPr>
            <a:t> Sum of MVC Deaths 2015</a:t>
          </a:r>
        </a:p>
        <a:p>
          <a:pPr algn="l"/>
          <a:endParaRPr lang="en-GB" sz="1100">
            <a:solidFill>
              <a:srgbClr val="00206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100" baseline="0">
              <a:solidFill>
                <a:schemeClr val="tx1"/>
              </a:solidFill>
              <a:effectLst/>
              <a:latin typeface="+mn-lt"/>
              <a:ea typeface="+mn-ea"/>
              <a:cs typeface="+mn-cs"/>
            </a:rPr>
            <a:t>  </a:t>
          </a:r>
          <a:r>
            <a:rPr lang="en-GB" sz="1100">
              <a:solidFill>
                <a:schemeClr val="tx1"/>
              </a:solidFill>
              <a:effectLst/>
              <a:latin typeface="+mn-lt"/>
              <a:ea typeface="+mn-ea"/>
              <a:cs typeface="+mn-cs"/>
            </a:rPr>
            <a:t>Sum of MVC Deaths 2015</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100">
            <a:solidFill>
              <a:schemeClr val="tx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100">
              <a:solidFill>
                <a:schemeClr val="tx2"/>
              </a:solidFill>
              <a:effectLst/>
              <a:latin typeface="+mn-lt"/>
              <a:ea typeface="+mn-ea"/>
              <a:cs typeface="+mn-cs"/>
            </a:rPr>
            <a:t>  Sum of</a:t>
          </a:r>
          <a:r>
            <a:rPr lang="en-GB" sz="1100" baseline="0">
              <a:solidFill>
                <a:schemeClr val="tx2"/>
              </a:solidFill>
              <a:effectLst/>
              <a:latin typeface="+mn-lt"/>
              <a:ea typeface="+mn-ea"/>
              <a:cs typeface="+mn-cs"/>
            </a:rPr>
            <a:t> Population </a:t>
          </a:r>
          <a:r>
            <a:rPr lang="en-GB" sz="1100">
              <a:solidFill>
                <a:schemeClr val="tx2"/>
              </a:solidFill>
              <a:effectLst/>
              <a:latin typeface="+mn-lt"/>
              <a:ea typeface="+mn-ea"/>
              <a:cs typeface="+mn-cs"/>
            </a:rPr>
            <a:t>2015</a:t>
          </a:r>
          <a:endParaRPr lang="en-GB">
            <a:solidFill>
              <a:schemeClr val="tx2"/>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a:solidFill>
              <a:schemeClr val="tx1"/>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100">
              <a:solidFill>
                <a:schemeClr val="tx2"/>
              </a:solidFill>
              <a:effectLst/>
              <a:latin typeface="+mn-lt"/>
              <a:ea typeface="+mn-ea"/>
              <a:cs typeface="+mn-cs"/>
            </a:rPr>
            <a:t>  Sum of</a:t>
          </a:r>
          <a:r>
            <a:rPr lang="en-GB" sz="1100" baseline="0">
              <a:solidFill>
                <a:schemeClr val="tx2"/>
              </a:solidFill>
              <a:effectLst/>
              <a:latin typeface="+mn-lt"/>
              <a:ea typeface="+mn-ea"/>
              <a:cs typeface="+mn-cs"/>
            </a:rPr>
            <a:t> Population</a:t>
          </a:r>
          <a:r>
            <a:rPr lang="en-GB" sz="1100">
              <a:solidFill>
                <a:schemeClr val="tx2"/>
              </a:solidFill>
              <a:effectLst/>
              <a:latin typeface="+mn-lt"/>
              <a:ea typeface="+mn-ea"/>
              <a:cs typeface="+mn-cs"/>
            </a:rPr>
            <a:t> 2019</a:t>
          </a:r>
          <a:endParaRPr lang="en-GB">
            <a:solidFill>
              <a:schemeClr val="tx2"/>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a:solidFill>
              <a:schemeClr val="tx1"/>
            </a:solidFill>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a:solidFill>
                <a:schemeClr val="tx1"/>
              </a:solidFill>
              <a:effectLst/>
            </a:rPr>
            <a:t>MVC =  Motor</a:t>
          </a:r>
          <a:r>
            <a:rPr lang="en-GB" baseline="0">
              <a:solidFill>
                <a:schemeClr val="tx1"/>
              </a:solidFill>
              <a:effectLst/>
            </a:rPr>
            <a:t> Vehicle Crashes </a:t>
          </a:r>
          <a:endParaRPr lang="en-GB">
            <a:solidFill>
              <a:schemeClr val="tx1"/>
            </a:solidFill>
            <a:effectLst/>
          </a:endParaRPr>
        </a:p>
        <a:p>
          <a:pPr algn="l"/>
          <a:r>
            <a:rPr lang="en-GB" sz="1100">
              <a:solidFill>
                <a:srgbClr val="002060"/>
              </a:solidFill>
            </a:rPr>
            <a:t> </a:t>
          </a:r>
        </a:p>
      </xdr:txBody>
    </xdr:sp>
    <xdr:clientData/>
  </xdr:twoCellAnchor>
  <xdr:twoCellAnchor>
    <xdr:from>
      <xdr:col>18</xdr:col>
      <xdr:colOff>228636</xdr:colOff>
      <xdr:row>4</xdr:row>
      <xdr:rowOff>119495</xdr:rowOff>
    </xdr:from>
    <xdr:to>
      <xdr:col>18</xdr:col>
      <xdr:colOff>308010</xdr:colOff>
      <xdr:row>5</xdr:row>
      <xdr:rowOff>109572</xdr:rowOff>
    </xdr:to>
    <xdr:sp macro="" textlink="">
      <xdr:nvSpPr>
        <xdr:cNvPr id="21" name="Oval 20">
          <a:extLst>
            <a:ext uri="{FF2B5EF4-FFF2-40B4-BE49-F238E27FC236}">
              <a16:creationId xmlns:a16="http://schemas.microsoft.com/office/drawing/2014/main" id="{00000000-0008-0000-0300-000015000000}"/>
            </a:ext>
          </a:extLst>
        </xdr:cNvPr>
        <xdr:cNvSpPr/>
      </xdr:nvSpPr>
      <xdr:spPr>
        <a:xfrm>
          <a:off x="11223799" y="782104"/>
          <a:ext cx="79374" cy="15572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217850</xdr:colOff>
      <xdr:row>7</xdr:row>
      <xdr:rowOff>120354</xdr:rowOff>
    </xdr:from>
    <xdr:to>
      <xdr:col>18</xdr:col>
      <xdr:colOff>317069</xdr:colOff>
      <xdr:row>8</xdr:row>
      <xdr:rowOff>110434</xdr:rowOff>
    </xdr:to>
    <xdr:sp macro="" textlink="">
      <xdr:nvSpPr>
        <xdr:cNvPr id="22" name="Oval 21">
          <a:extLst>
            <a:ext uri="{FF2B5EF4-FFF2-40B4-BE49-F238E27FC236}">
              <a16:creationId xmlns:a16="http://schemas.microsoft.com/office/drawing/2014/main" id="{00000000-0008-0000-0300-000016000000}"/>
            </a:ext>
          </a:extLst>
        </xdr:cNvPr>
        <xdr:cNvSpPr/>
      </xdr:nvSpPr>
      <xdr:spPr>
        <a:xfrm>
          <a:off x="11213013" y="1279919"/>
          <a:ext cx="99219" cy="155732"/>
        </a:xfrm>
        <a:prstGeom prst="ellipse">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227341</xdr:colOff>
      <xdr:row>10</xdr:row>
      <xdr:rowOff>88866</xdr:rowOff>
    </xdr:from>
    <xdr:to>
      <xdr:col>18</xdr:col>
      <xdr:colOff>326559</xdr:colOff>
      <xdr:row>11</xdr:row>
      <xdr:rowOff>98788</xdr:rowOff>
    </xdr:to>
    <xdr:sp macro="" textlink="">
      <xdr:nvSpPr>
        <xdr:cNvPr id="23" name="Oval 22">
          <a:extLst>
            <a:ext uri="{FF2B5EF4-FFF2-40B4-BE49-F238E27FC236}">
              <a16:creationId xmlns:a16="http://schemas.microsoft.com/office/drawing/2014/main" id="{00000000-0008-0000-0300-000017000000}"/>
            </a:ext>
          </a:extLst>
        </xdr:cNvPr>
        <xdr:cNvSpPr/>
      </xdr:nvSpPr>
      <xdr:spPr>
        <a:xfrm>
          <a:off x="11222504" y="1745388"/>
          <a:ext cx="99218" cy="175574"/>
        </a:xfrm>
        <a:prstGeom prst="ellipse">
          <a:avLst/>
        </a:prstGeom>
        <a:solidFill>
          <a:schemeClr val="accent3">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237263</xdr:colOff>
      <xdr:row>13</xdr:row>
      <xdr:rowOff>78081</xdr:rowOff>
    </xdr:from>
    <xdr:to>
      <xdr:col>18</xdr:col>
      <xdr:colOff>316637</xdr:colOff>
      <xdr:row>14</xdr:row>
      <xdr:rowOff>88003</xdr:rowOff>
    </xdr:to>
    <xdr:sp macro="" textlink="">
      <xdr:nvSpPr>
        <xdr:cNvPr id="24" name="Oval 23">
          <a:extLst>
            <a:ext uri="{FF2B5EF4-FFF2-40B4-BE49-F238E27FC236}">
              <a16:creationId xmlns:a16="http://schemas.microsoft.com/office/drawing/2014/main" id="{00000000-0008-0000-0300-000018000000}"/>
            </a:ext>
          </a:extLst>
        </xdr:cNvPr>
        <xdr:cNvSpPr/>
      </xdr:nvSpPr>
      <xdr:spPr>
        <a:xfrm>
          <a:off x="11232426" y="2231559"/>
          <a:ext cx="79374" cy="175574"/>
        </a:xfrm>
        <a:prstGeom prst="ellipse">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002060"/>
            </a:solidFill>
          </a:endParaRPr>
        </a:p>
      </xdr:txBody>
    </xdr:sp>
    <xdr:clientData/>
  </xdr:twoCellAnchor>
  <xdr:twoCellAnchor editAs="oneCell">
    <xdr:from>
      <xdr:col>0</xdr:col>
      <xdr:colOff>103532</xdr:colOff>
      <xdr:row>2</xdr:row>
      <xdr:rowOff>88376</xdr:rowOff>
    </xdr:from>
    <xdr:to>
      <xdr:col>4</xdr:col>
      <xdr:colOff>366312</xdr:colOff>
      <xdr:row>19</xdr:row>
      <xdr:rowOff>58917</xdr:rowOff>
    </xdr:to>
    <mc:AlternateContent xmlns:mc="http://schemas.openxmlformats.org/markup-compatibility/2006" xmlns:a14="http://schemas.microsoft.com/office/drawing/2010/main">
      <mc:Choice Requires="a14">
        <xdr:graphicFrame macro="">
          <xdr:nvGraphicFramePr>
            <xdr:cNvPr id="4" name="Country 2">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103532" y="402603"/>
              <a:ext cx="2698038" cy="26414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392782</xdr:colOff>
      <xdr:row>2</xdr:row>
      <xdr:rowOff>88376</xdr:rowOff>
    </xdr:from>
    <xdr:to>
      <xdr:col>7</xdr:col>
      <xdr:colOff>176752</xdr:colOff>
      <xdr:row>19</xdr:row>
      <xdr:rowOff>29458</xdr:rowOff>
    </xdr:to>
    <xdr:sp macro="" textlink="">
      <xdr:nvSpPr>
        <xdr:cNvPr id="9" name="Rectangle 8">
          <a:extLst>
            <a:ext uri="{FF2B5EF4-FFF2-40B4-BE49-F238E27FC236}">
              <a16:creationId xmlns:a16="http://schemas.microsoft.com/office/drawing/2014/main" id="{00000000-0008-0000-0300-000009000000}"/>
            </a:ext>
          </a:extLst>
        </xdr:cNvPr>
        <xdr:cNvSpPr/>
      </xdr:nvSpPr>
      <xdr:spPr>
        <a:xfrm>
          <a:off x="2828040" y="402603"/>
          <a:ext cx="1610413" cy="26120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4</xdr:col>
          <xdr:colOff>438150</xdr:colOff>
          <xdr:row>5</xdr:row>
          <xdr:rowOff>133350</xdr:rowOff>
        </xdr:from>
        <xdr:to>
          <xdr:col>7</xdr:col>
          <xdr:colOff>171450</xdr:colOff>
          <xdr:row>11</xdr:row>
          <xdr:rowOff>9525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32</xdr:row>
      <xdr:rowOff>47625</xdr:rowOff>
    </xdr:from>
    <xdr:to>
      <xdr:col>2</xdr:col>
      <xdr:colOff>142875</xdr:colOff>
      <xdr:row>49</xdr:row>
      <xdr:rowOff>38100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619125</xdr:colOff>
      <xdr:row>29</xdr:row>
      <xdr:rowOff>152400</xdr:rowOff>
    </xdr:from>
    <xdr:to>
      <xdr:col>5</xdr:col>
      <xdr:colOff>1771650</xdr:colOff>
      <xdr:row>46</xdr:row>
      <xdr:rowOff>142875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695325</xdr:colOff>
      <xdr:row>30</xdr:row>
      <xdr:rowOff>95250</xdr:rowOff>
    </xdr:from>
    <xdr:to>
      <xdr:col>9</xdr:col>
      <xdr:colOff>1304925</xdr:colOff>
      <xdr:row>47</xdr:row>
      <xdr:rowOff>85725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95250</xdr:colOff>
      <xdr:row>31</xdr:row>
      <xdr:rowOff>85725</xdr:rowOff>
    </xdr:from>
    <xdr:to>
      <xdr:col>20</xdr:col>
      <xdr:colOff>238125</xdr:colOff>
      <xdr:row>48</xdr:row>
      <xdr:rowOff>76200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31</xdr:row>
      <xdr:rowOff>28575</xdr:rowOff>
    </xdr:from>
    <xdr:to>
      <xdr:col>14</xdr:col>
      <xdr:colOff>1095375</xdr:colOff>
      <xdr:row>48</xdr:row>
      <xdr:rowOff>19050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78766</xdr:colOff>
      <xdr:row>2</xdr:row>
      <xdr:rowOff>138906</xdr:rowOff>
    </xdr:from>
    <xdr:to>
      <xdr:col>23</xdr:col>
      <xdr:colOff>59530</xdr:colOff>
      <xdr:row>38</xdr:row>
      <xdr:rowOff>38877</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78766" y="456406"/>
          <a:ext cx="13901155" cy="5614971"/>
        </a:xfrm>
        <a:prstGeom prst="rect">
          <a:avLst/>
        </a:prstGeom>
        <a:solidFill>
          <a:schemeClr val="bg2">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39689</xdr:colOff>
      <xdr:row>22</xdr:row>
      <xdr:rowOff>86257</xdr:rowOff>
    </xdr:from>
    <xdr:to>
      <xdr:col>5</xdr:col>
      <xdr:colOff>302112</xdr:colOff>
      <xdr:row>36</xdr:row>
      <xdr:rowOff>138906</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68846</xdr:colOff>
      <xdr:row>6</xdr:row>
      <xdr:rowOff>138906</xdr:rowOff>
    </xdr:from>
    <xdr:to>
      <xdr:col>5</xdr:col>
      <xdr:colOff>282672</xdr:colOff>
      <xdr:row>22</xdr:row>
      <xdr:rowOff>43834</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330864</xdr:colOff>
      <xdr:row>20</xdr:row>
      <xdr:rowOff>128985</xdr:rowOff>
    </xdr:from>
    <xdr:to>
      <xdr:col>16</xdr:col>
      <xdr:colOff>426641</xdr:colOff>
      <xdr:row>36</xdr:row>
      <xdr:rowOff>138907</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461065</xdr:colOff>
      <xdr:row>20</xdr:row>
      <xdr:rowOff>99220</xdr:rowOff>
    </xdr:from>
    <xdr:to>
      <xdr:col>21</xdr:col>
      <xdr:colOff>347267</xdr:colOff>
      <xdr:row>36</xdr:row>
      <xdr:rowOff>138906</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340422</xdr:colOff>
      <xdr:row>6</xdr:row>
      <xdr:rowOff>128984</xdr:rowOff>
    </xdr:from>
    <xdr:to>
      <xdr:col>12</xdr:col>
      <xdr:colOff>331675</xdr:colOff>
      <xdr:row>36</xdr:row>
      <xdr:rowOff>138906</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319938</xdr:colOff>
      <xdr:row>6</xdr:row>
      <xdr:rowOff>119064</xdr:rowOff>
    </xdr:from>
    <xdr:to>
      <xdr:col>16</xdr:col>
      <xdr:colOff>406797</xdr:colOff>
      <xdr:row>20</xdr:row>
      <xdr:rowOff>89298</xdr:rowOff>
    </xdr:to>
    <mc:AlternateContent xmlns:mc="http://schemas.openxmlformats.org/markup-compatibility/2006" xmlns:a14="http://schemas.microsoft.com/office/drawing/2010/main">
      <mc:Choice Requires="a14">
        <xdr:graphicFrame macro="">
          <xdr:nvGraphicFramePr>
            <xdr:cNvPr id="8" name="Country">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582751" y="1071564"/>
              <a:ext cx="2507796" cy="21927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19843</xdr:colOff>
      <xdr:row>3</xdr:row>
      <xdr:rowOff>89298</xdr:rowOff>
    </xdr:from>
    <xdr:to>
      <xdr:col>21</xdr:col>
      <xdr:colOff>268496</xdr:colOff>
      <xdr:row>6</xdr:row>
      <xdr:rowOff>89297</xdr:rowOff>
    </xdr:to>
    <xdr:sp macro="" textlink="">
      <xdr:nvSpPr>
        <xdr:cNvPr id="10" name="Rectangle: Rounded Corners 9">
          <a:extLst>
            <a:ext uri="{FF2B5EF4-FFF2-40B4-BE49-F238E27FC236}">
              <a16:creationId xmlns:a16="http://schemas.microsoft.com/office/drawing/2014/main" id="{00000000-0008-0000-0700-00000A000000}"/>
            </a:ext>
          </a:extLst>
        </xdr:cNvPr>
        <xdr:cNvSpPr/>
      </xdr:nvSpPr>
      <xdr:spPr>
        <a:xfrm>
          <a:off x="19843" y="565548"/>
          <a:ext cx="12958575" cy="476249"/>
        </a:xfrm>
        <a:prstGeom prst="roundRect">
          <a:avLst/>
        </a:prstGeom>
        <a:solidFill>
          <a:schemeClr val="accent3"/>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a:t>MOTOR VEHICLE</a:t>
          </a:r>
          <a:r>
            <a:rPr lang="en-GB" sz="1800" b="1" baseline="0"/>
            <a:t> INTERNATIONAL DASHBOARD FOR RATES OF RIGISTERED VEHICLES THAT CRASHED</a:t>
          </a:r>
          <a:endParaRPr lang="en-GB" sz="1800" b="1"/>
        </a:p>
      </xdr:txBody>
    </xdr:sp>
    <xdr:clientData/>
  </xdr:twoCellAnchor>
  <xdr:twoCellAnchor>
    <xdr:from>
      <xdr:col>16</xdr:col>
      <xdr:colOff>436564</xdr:colOff>
      <xdr:row>6</xdr:row>
      <xdr:rowOff>99219</xdr:rowOff>
    </xdr:from>
    <xdr:to>
      <xdr:col>21</xdr:col>
      <xdr:colOff>317501</xdr:colOff>
      <xdr:row>20</xdr:row>
      <xdr:rowOff>89296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10120314" y="1051719"/>
          <a:ext cx="2907109" cy="2212577"/>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17</xdr:col>
          <xdr:colOff>47625</xdr:colOff>
          <xdr:row>10</xdr:row>
          <xdr:rowOff>47625</xdr:rowOff>
        </xdr:from>
        <xdr:to>
          <xdr:col>21</xdr:col>
          <xdr:colOff>9525</xdr:colOff>
          <xdr:row>16</xdr:row>
          <xdr:rowOff>9525</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66675</xdr:colOff>
      <xdr:row>0</xdr:row>
      <xdr:rowOff>9525</xdr:rowOff>
    </xdr:from>
    <xdr:to>
      <xdr:col>21</xdr:col>
      <xdr:colOff>85725</xdr:colOff>
      <xdr:row>33</xdr:row>
      <xdr:rowOff>66675</xdr:rowOff>
    </xdr:to>
    <xdr:sp macro="" textlink="">
      <xdr:nvSpPr>
        <xdr:cNvPr id="6" name="Rectangle 5">
          <a:extLst>
            <a:ext uri="{FF2B5EF4-FFF2-40B4-BE49-F238E27FC236}">
              <a16:creationId xmlns:a16="http://schemas.microsoft.com/office/drawing/2014/main" id="{00000000-0008-0000-0800-000006000000}"/>
            </a:ext>
          </a:extLst>
        </xdr:cNvPr>
        <xdr:cNvSpPr/>
      </xdr:nvSpPr>
      <xdr:spPr>
        <a:xfrm>
          <a:off x="66675" y="9525"/>
          <a:ext cx="12820650" cy="5400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4</xdr:row>
      <xdr:rowOff>47625</xdr:rowOff>
    </xdr:from>
    <xdr:to>
      <xdr:col>6</xdr:col>
      <xdr:colOff>570294</xdr:colOff>
      <xdr:row>31</xdr:row>
      <xdr:rowOff>123825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4</xdr:row>
      <xdr:rowOff>66676</xdr:rowOff>
    </xdr:from>
    <xdr:to>
      <xdr:col>20</xdr:col>
      <xdr:colOff>317589</xdr:colOff>
      <xdr:row>31</xdr:row>
      <xdr:rowOff>138215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133350</xdr:colOff>
          <xdr:row>27</xdr:row>
          <xdr:rowOff>28575</xdr:rowOff>
        </xdr:from>
        <xdr:to>
          <xdr:col>12</xdr:col>
          <xdr:colOff>419100</xdr:colOff>
          <xdr:row>30</xdr:row>
          <xdr:rowOff>85725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23</xdr:row>
          <xdr:rowOff>0</xdr:rowOff>
        </xdr:from>
        <xdr:to>
          <xdr:col>12</xdr:col>
          <xdr:colOff>390525</xdr:colOff>
          <xdr:row>26</xdr:row>
          <xdr:rowOff>9525</xdr:rowOff>
        </xdr:to>
        <xdr:sp macro="" textlink="">
          <xdr:nvSpPr>
            <xdr:cNvPr id="14338" name="CommandButton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0</xdr:row>
      <xdr:rowOff>28575</xdr:rowOff>
    </xdr:from>
    <xdr:to>
      <xdr:col>21</xdr:col>
      <xdr:colOff>38100</xdr:colOff>
      <xdr:row>4</xdr:row>
      <xdr:rowOff>0</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95250" y="28575"/>
          <a:ext cx="12744450" cy="619125"/>
        </a:xfrm>
        <a:prstGeom prst="roundRect">
          <a:avLst/>
        </a:prstGeom>
        <a:solidFill>
          <a:srgbClr val="FFC0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2">
                  <a:lumMod val="95000"/>
                  <a:lumOff val="5000"/>
                </a:schemeClr>
              </a:solidFill>
            </a:rPr>
            <a:t>HOME</a:t>
          </a:r>
          <a:r>
            <a:rPr lang="en-GB" sz="2400" baseline="0">
              <a:solidFill>
                <a:schemeClr val="tx2">
                  <a:lumMod val="95000"/>
                  <a:lumOff val="5000"/>
                </a:schemeClr>
              </a:solidFill>
            </a:rPr>
            <a:t> PAGE TO NAVIGATE THROUGH THE DASHBOARDS</a:t>
          </a:r>
          <a:endParaRPr lang="en-GB" sz="2400">
            <a:solidFill>
              <a:schemeClr val="tx2">
                <a:lumMod val="95000"/>
                <a:lumOff val="5000"/>
              </a:schemeClr>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348156250002" backgroundQuery="1" createdVersion="8" refreshedVersion="8" minRefreshableVersion="3" recordCount="0" supportSubquery="1" supportAdvancedDrill="1" xr:uid="{FEFBB127-4D68-4A52-84D3-0EDC9CF1977B}">
  <cacheSource type="external" connectionId="1"/>
  <cacheFields count="3">
    <cacheField name="[Range].[Country].[Country]" caption="Country" numFmtId="0" level="1">
      <sharedItems count="28">
        <s v="Australia"/>
        <s v="Austria"/>
        <s v="Belgium"/>
        <s v="Canada"/>
        <s v="Chile***"/>
        <s v="Czechia"/>
        <s v="Denmark"/>
        <s v="Finland†††"/>
        <s v="France"/>
        <s v="Germany†††"/>
        <s v="Greece"/>
        <s v="Hungary"/>
        <s v="Ireland"/>
        <s v="Israel"/>
        <s v="Italy"/>
        <s v="Japan"/>
        <s v="Lithuania"/>
        <s v="Netherlands"/>
        <s v="New Zealand"/>
        <s v="Norway"/>
        <s v="Poland"/>
        <s v="Slovenia†††"/>
        <s v="South Korea"/>
        <s v="Spain"/>
        <s v="Sweden"/>
        <s v="Switzerland"/>
        <s v="United Kingdom"/>
        <s v="United States"/>
      </sharedItems>
    </cacheField>
    <cacheField name="[Measures].[Sum of Vehicle miles traveled  (in billions), 2019]" caption="Sum of Vehicle miles traveled  (in billions), 2019" numFmtId="0" hierarchy="36" level="32767"/>
    <cacheField name="[Measures].[Sum of MVC deaths  per 100 million vehicle miles traveled2019]" caption="Sum of MVC deaths  per 100 million vehicle miles traveled2019" numFmtId="0" hierarchy="33" level="32767"/>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0" memberValueDatatype="130" unbalanced="0"/>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oneField="1" hidden="1">
      <fieldsUsage count="1">
        <fieldUsage x="1"/>
      </fieldsUsage>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348156944441" backgroundQuery="1" createdVersion="8" refreshedVersion="8" minRefreshableVersion="3" recordCount="0" supportSubquery="1" supportAdvancedDrill="1" xr:uid="{745BF0D4-B763-406E-B296-68F7B8EA3201}">
  <cacheSource type="external" connectionId="1"/>
  <cacheFields count="3">
    <cacheField name="[Range].[Country].[Country]" caption="Country" numFmtId="0" level="1">
      <sharedItems count="28">
        <s v="Australia"/>
        <s v="Austria"/>
        <s v="Belgium"/>
        <s v="Canada"/>
        <s v="Chile***"/>
        <s v="Czechia"/>
        <s v="Denmark"/>
        <s v="Finland†††"/>
        <s v="France"/>
        <s v="Germany†††"/>
        <s v="Greece"/>
        <s v="Hungary"/>
        <s v="Ireland"/>
        <s v="Israel"/>
        <s v="Italy"/>
        <s v="Japan"/>
        <s v="Lithuania"/>
        <s v="Netherlands"/>
        <s v="New Zealand"/>
        <s v="Norway"/>
        <s v="Poland"/>
        <s v="Slovenia†††"/>
        <s v="South Korea"/>
        <s v="Spain"/>
        <s v="Sweden"/>
        <s v="Switzerland"/>
        <s v="United Kingdom"/>
        <s v="United States"/>
      </sharedItems>
    </cacheField>
    <cacheField name="[Measures].[Sum of No. of registered vehicles, 2019]" caption="Sum of No. of registered vehicles, 2019" numFmtId="0" hierarchy="32" level="32767"/>
    <cacheField name="[Measures].[Sum of MVC deaths per 10,000 registered vehicles 2019]" caption="Sum of MVC deaths per 10,000 registered vehicles 2019" numFmtId="0" hierarchy="30" level="32767"/>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0" memberValueDatatype="130" unbalanced="0"/>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348157986111" backgroundQuery="1" createdVersion="8" refreshedVersion="8" minRefreshableVersion="3" recordCount="0" supportSubquery="1" supportAdvancedDrill="1" xr:uid="{20718208-7CDC-414A-8546-FAB449D6DA74}">
  <cacheSource type="external" connectionId="1"/>
  <cacheFields count="3">
    <cacheField name="[Range].[Country].[Country]" caption="Country" numFmtId="0" level="1">
      <sharedItems count="28">
        <s v="Australia"/>
        <s v="Austria"/>
        <s v="Belgium"/>
        <s v="Canada"/>
        <s v="Chile***"/>
        <s v="Czechia"/>
        <s v="Denmark"/>
        <s v="Finland†††"/>
        <s v="France"/>
        <s v="Germany†††"/>
        <s v="Greece"/>
        <s v="Hungary"/>
        <s v="Ireland"/>
        <s v="Israel"/>
        <s v="Italy"/>
        <s v="Japan"/>
        <s v="Lithuania"/>
        <s v="Netherlands"/>
        <s v="New Zealand"/>
        <s v="Norway"/>
        <s v="Poland"/>
        <s v="Slovenia†††"/>
        <s v="South Korea"/>
        <s v="Spain"/>
        <s v="Sweden"/>
        <s v="Switzerland"/>
        <s v="United Kingdom"/>
        <s v="United States"/>
      </sharedItems>
    </cacheField>
    <cacheField name="[Measures].[Sum of Vehicle miles traveled (in billions), 2015]" caption="Sum of Vehicle miles traveled (in billions), 2015" numFmtId="0" hierarchy="35" level="32767"/>
    <cacheField name="[Measures].[Sum of MVC deaths  per 100 million vehicle mile traveled 2015]" caption="Sum of MVC deaths  per 100 million vehicle mile traveled 2015" numFmtId="0" hierarchy="34" level="32767"/>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0" memberValueDatatype="130" unbalanced="0"/>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348159259258" backgroundQuery="1" createdVersion="8" refreshedVersion="8" minRefreshableVersion="3" recordCount="0" supportSubquery="1" supportAdvancedDrill="1" xr:uid="{009CA7FF-CDC8-4155-ADCC-5421335BC69C}">
  <cacheSource type="external" connectionId="1"/>
  <cacheFields count="3">
    <cacheField name="[Range].[Country].[Country]" caption="Country" numFmtId="0" level="1">
      <sharedItems count="28">
        <s v="Australia"/>
        <s v="Austria"/>
        <s v="Belgium"/>
        <s v="Canada"/>
        <s v="Chile***"/>
        <s v="Czechia"/>
        <s v="Denmark"/>
        <s v="Finland†††"/>
        <s v="France"/>
        <s v="Germany†††"/>
        <s v="Greece"/>
        <s v="Hungary"/>
        <s v="Ireland"/>
        <s v="Israel"/>
        <s v="Italy"/>
        <s v="Japan"/>
        <s v="Lithuania"/>
        <s v="Netherlands"/>
        <s v="New Zealand"/>
        <s v="Norway"/>
        <s v="Poland"/>
        <s v="Slovenia†††"/>
        <s v="South Korea"/>
        <s v="Spain"/>
        <s v="Sweden"/>
        <s v="Switzerland"/>
        <s v="United Kingdom"/>
        <s v="United States"/>
      </sharedItems>
    </cacheField>
    <cacheField name="[Measures].[Sum of MVC deaths per 10,000 registered vehicles 2015]" caption="Sum of MVC deaths per 10,000 registered vehicles 2015" numFmtId="0" hierarchy="31" level="32767"/>
    <cacheField name="[Measures].[Count of No. of registered vehicles, 2015]" caption="Count of No. of registered vehicles, 2015" numFmtId="0" hierarchy="37" level="32767"/>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2"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0" memberValueDatatype="130" unbalanced="0"/>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oneField="1" hidden="1">
      <fieldsUsage count="1">
        <fieldUsage x="2"/>
      </fieldsUsage>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348160648151" backgroundQuery="1" createdVersion="8" refreshedVersion="8" minRefreshableVersion="3" recordCount="0" supportSubquery="1" supportAdvancedDrill="1" xr:uid="{5D833BAC-B4C8-4502-9ECE-954D844E358B}">
  <cacheSource type="external" connectionId="1"/>
  <cacheFields count="9">
    <cacheField name="[Range].[Country].[Country]" caption="Country" numFmtId="0" level="1">
      <sharedItems count="28">
        <s v="Australia"/>
        <s v="Austria"/>
        <s v="Belgium"/>
        <s v="Canada"/>
        <s v="Chile***"/>
        <s v="Czechia"/>
        <s v="Denmark"/>
        <s v="Finland†††"/>
        <s v="France"/>
        <s v="Germany†††"/>
        <s v="Greece"/>
        <s v="Hungary"/>
        <s v="Ireland"/>
        <s v="Israel"/>
        <s v="Italy"/>
        <s v="Japan"/>
        <s v="Lithuania"/>
        <s v="Netherlands"/>
        <s v="New Zealand"/>
        <s v="Norway"/>
        <s v="Poland"/>
        <s v="Slovenia†††"/>
        <s v="South Korea"/>
        <s v="Spain"/>
        <s v="Sweden"/>
        <s v="Switzerland"/>
        <s v="United Kingdom"/>
        <s v="United States"/>
      </sharedItems>
    </cacheField>
    <cacheField name="[Measures].[Sum of MVC deaths per 10,000 registered vehicles 2019]" caption="Sum of MVC deaths per 10,000 registered vehicles 2019" numFmtId="0" hierarchy="30" level="32767"/>
    <cacheField name="[Measures].[Sum of MVC deaths per 10,000 registered vehicles 2015]" caption="Sum of MVC deaths per 10,000 registered vehicles 2015" numFmtId="0" hierarchy="31" level="32767"/>
    <cacheField name="[Measures].[Sum of No. of registered vehicles, 2019]" caption="Sum of No. of registered vehicles, 2019" numFmtId="0" hierarchy="32" level="32767"/>
    <cacheField name="[Measures].[Count of No. of registered vehicles, 2015]" caption="Count of No. of registered vehicles, 2015" numFmtId="0" hierarchy="37" level="32767"/>
    <cacheField name="[Measures].[Sum of Vehicle miles traveled (in billions), 2015]" caption="Sum of Vehicle miles traveled (in billions), 2015" numFmtId="0" hierarchy="35" level="32767"/>
    <cacheField name="[Measures].[Sum of Vehicle miles traveled  (in billions), 2019]" caption="Sum of Vehicle miles traveled  (in billions), 2019" numFmtId="0" hierarchy="36" level="32767"/>
    <cacheField name="[Measures].[Sum of MVC deaths  per 100 million vehicle mile traveled 2015]" caption="Sum of MVC deaths  per 100 million vehicle mile traveled 2015" numFmtId="0" hierarchy="34" level="32767"/>
    <cacheField name="[Measures].[Sum of MVC deaths  per 100 million vehicle miles traveled2019]" caption="Sum of MVC deaths  per 100 million vehicle miles traveled2019" numFmtId="0" hierarchy="33" level="32767"/>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2"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0" memberValueDatatype="130" unbalanced="0"/>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oneField="1" hidden="1">
      <fieldsUsage count="1">
        <fieldUsage x="3"/>
      </fieldsUsage>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oneField="1" hidden="1">
      <fieldsUsage count="1">
        <fieldUsage x="8"/>
      </fieldsUsage>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oneField="1" hidden="1">
      <fieldsUsage count="1">
        <fieldUsage x="7"/>
      </fieldsUsage>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oneField="1" hidden="1">
      <fieldsUsage count="1">
        <fieldUsage x="5"/>
      </fieldsUsage>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oneField="1" hidden="1">
      <fieldsUsage count="1">
        <fieldUsage x="6"/>
      </fieldsUsage>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oneField="1" hidden="1">
      <fieldsUsage count="1">
        <fieldUsage x="4"/>
      </fieldsUsage>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57306678241" backgroundQuery="1" createdVersion="8" refreshedVersion="8" minRefreshableVersion="3" recordCount="0" supportSubquery="1" supportAdvancedDrill="1" xr:uid="{A7E41D5A-6B80-4D94-B370-E4D23A462D3C}">
  <cacheSource type="external" connectionId="1"/>
  <cacheFields count="4">
    <cacheField name="[Range 1].[Country].[Country]" caption="Country" numFmtId="0" hierarchy="9" level="1">
      <sharedItems count="29">
        <s v="Australia"/>
        <s v="Austria"/>
        <s v="Belgium"/>
        <s v="Canada"/>
        <s v="Chile††"/>
        <s v="Czechia"/>
        <s v="Denmark"/>
        <s v="Finland"/>
        <s v="France"/>
        <s v="Germany"/>
        <s v="Greece"/>
        <s v="Hungary"/>
        <s v="Ireland"/>
        <s v="Israel"/>
        <s v="Italy"/>
        <s v="Japan"/>
        <s v="Lithuania"/>
        <s v="Netherlands"/>
        <s v="New Zealand"/>
        <s v="Norway"/>
        <s v="Poland"/>
        <s v="Portugal"/>
        <s v="Slovenia"/>
        <s v="South Korea"/>
        <s v="Spain"/>
        <s v="Sweden"/>
        <s v="Switzerland"/>
        <s v="United Kingdom"/>
        <s v="United States"/>
      </sharedItems>
    </cacheField>
    <cacheField name="[Measures].[Sum of MVC Deaths 2015 2]" caption="Sum of MVC Deaths 2015 2" numFmtId="0" hierarchy="21" level="32767"/>
    <cacheField name="[Measures].[Sum of Population, 2015]" caption="Sum of Population, 2015" numFmtId="0" hierarchy="22" level="32767"/>
    <cacheField name="[Range].[Country].[Country]" caption="Country" numFmtId="0" level="1">
      <sharedItems containsSemiMixedTypes="0" containsNonDate="0" containsString="0"/>
    </cacheField>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3"/>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2" memberValueDatatype="130" unbalanced="0">
      <fieldsUsage count="2">
        <fieldUsage x="-1"/>
        <fieldUsage x="0"/>
      </fieldsUsage>
    </cacheHierarchy>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57306840278" backgroundQuery="1" createdVersion="8" refreshedVersion="8" minRefreshableVersion="3" recordCount="0" supportSubquery="1" supportAdvancedDrill="1" xr:uid="{7E21619B-FAB0-49BB-9F3F-9497C54B149E}">
  <cacheSource type="external" connectionId="1"/>
  <cacheFields count="6">
    <cacheField name="[Range 1].[Country].[Country]" caption="Country" numFmtId="0" hierarchy="9" level="1">
      <sharedItems count="29">
        <s v="Australia"/>
        <s v="Austria"/>
        <s v="Belgium"/>
        <s v="Canada"/>
        <s v="Chile††"/>
        <s v="Czechia"/>
        <s v="Denmark"/>
        <s v="Finland"/>
        <s v="France"/>
        <s v="Germany"/>
        <s v="Greece"/>
        <s v="Hungary"/>
        <s v="Ireland"/>
        <s v="Israel"/>
        <s v="Italy"/>
        <s v="Japan"/>
        <s v="Lithuania"/>
        <s v="Netherlands"/>
        <s v="New Zealand"/>
        <s v="Norway"/>
        <s v="Poland"/>
        <s v="Portugal"/>
        <s v="Slovenia"/>
        <s v="South Korea"/>
        <s v="Spain"/>
        <s v="Sweden"/>
        <s v="Switzerland"/>
        <s v="United Kingdom"/>
        <s v="United States"/>
      </sharedItems>
    </cacheField>
    <cacheField name="[Measures].[Sum of MVC Deaths 2015 2]" caption="Sum of MVC Deaths 2015 2" numFmtId="0" hierarchy="21" level="32767"/>
    <cacheField name="[Measures].[Sum of MVC Deaths 2019 2]" caption="Sum of MVC Deaths 2019 2" numFmtId="0" hierarchy="23" level="32767"/>
    <cacheField name="[Measures].[Sum of Population, 2015]" caption="Sum of Population, 2015" numFmtId="0" hierarchy="22" level="32767"/>
    <cacheField name="[Measures].[Sum of Population, 2019]" caption="Sum of Population, 2019" numFmtId="0" hierarchy="24" level="32767"/>
    <cacheField name="[Range].[Country].[Country]" caption="Country" numFmtId="0" level="1">
      <sharedItems containsSemiMixedTypes="0" containsNonDate="0" containsString="0"/>
    </cacheField>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5"/>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2" memberValueDatatype="130" unbalanced="0">
      <fieldsUsage count="2">
        <fieldUsage x="-1"/>
        <fieldUsage x="0"/>
      </fieldsUsage>
    </cacheHierarchy>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oneField="1" hidden="1">
      <fieldsUsage count="1">
        <fieldUsage x="4"/>
      </fieldsUsage>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57306909722" backgroundQuery="1" createdVersion="8" refreshedVersion="8" minRefreshableVersion="3" recordCount="0" supportSubquery="1" supportAdvancedDrill="1" xr:uid="{35D1329D-9BEF-497B-87E1-973992AB4217}">
  <cacheSource type="external" connectionId="1"/>
  <cacheFields count="2">
    <cacheField name="[Range].[Country].[Country]" caption="Country" numFmtId="0" level="1">
      <sharedItems containsSemiMixedTypes="0" containsNonDate="0" containsString="0"/>
    </cacheField>
    <cacheField name="[Range 1].[Country].[Country]" caption="Country" numFmtId="0" hierarchy="9" level="1">
      <sharedItems containsSemiMixedTypes="0" containsNonDate="0" containsString="0"/>
    </cacheField>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0"/>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2" memberValueDatatype="130" unbalanced="0">
      <fieldsUsage count="2">
        <fieldUsage x="-1"/>
        <fieldUsage x="1"/>
      </fieldsUsage>
    </cacheHierarchy>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573070486113" backgroundQuery="1" createdVersion="8" refreshedVersion="8" minRefreshableVersion="3" recordCount="0" supportSubquery="1" supportAdvancedDrill="1" xr:uid="{79525074-93D0-4807-A01C-1ED00AE6F931}">
  <cacheSource type="external" connectionId="1"/>
  <cacheFields count="4">
    <cacheField name="[Range 1].[Country].[Country]" caption="Country" numFmtId="0" hierarchy="9" level="1">
      <sharedItems count="29">
        <s v="Australia"/>
        <s v="Austria"/>
        <s v="Belgium"/>
        <s v="Canada"/>
        <s v="Chile††"/>
        <s v="Czechia"/>
        <s v="Denmark"/>
        <s v="Finland"/>
        <s v="France"/>
        <s v="Germany"/>
        <s v="Greece"/>
        <s v="Hungary"/>
        <s v="Ireland"/>
        <s v="Israel"/>
        <s v="Italy"/>
        <s v="Japan"/>
        <s v="Lithuania"/>
        <s v="Netherlands"/>
        <s v="New Zealand"/>
        <s v="Norway"/>
        <s v="Poland"/>
        <s v="Portugal"/>
        <s v="Slovenia"/>
        <s v="South Korea"/>
        <s v="Spain"/>
        <s v="Sweden"/>
        <s v="Switzerland"/>
        <s v="United Kingdom"/>
        <s v="United States"/>
      </sharedItems>
    </cacheField>
    <cacheField name="[Measures].[Sum of MVC Deaths 2019 2]" caption="Sum of MVC Deaths 2019 2" numFmtId="0" hierarchy="23" level="32767"/>
    <cacheField name="[Measures].[Sum of Population, 2019]" caption="Sum of Population, 2019" numFmtId="0" hierarchy="24" level="32767"/>
    <cacheField name="[Range].[Country].[Country]" caption="Country" numFmtId="0" level="1">
      <sharedItems containsSemiMixedTypes="0" containsNonDate="0" containsString="0"/>
    </cacheField>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3"/>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2" memberValueDatatype="130" unbalanced="0">
      <fieldsUsage count="2">
        <fieldUsage x="-1"/>
        <fieldUsage x="0"/>
      </fieldsUsage>
    </cacheHierarchy>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573071990744" backgroundQuery="1" createdVersion="8" refreshedVersion="8" minRefreshableVersion="3" recordCount="0" supportSubquery="1" supportAdvancedDrill="1" xr:uid="{FFC1FBAA-5217-4F2C-BF97-927D5E7ACB35}">
  <cacheSource type="external" connectionId="1"/>
  <cacheFields count="4">
    <cacheField name="[Range 1].[Country].[Country]" caption="Country" numFmtId="0" hierarchy="9" level="1">
      <sharedItems count="29">
        <s v="Australia"/>
        <s v="Austria"/>
        <s v="Belgium"/>
        <s v="Canada"/>
        <s v="Chile††"/>
        <s v="Czechia"/>
        <s v="Denmark"/>
        <s v="Finland"/>
        <s v="France"/>
        <s v="Germany"/>
        <s v="Greece"/>
        <s v="Hungary"/>
        <s v="Ireland"/>
        <s v="Israel"/>
        <s v="Italy"/>
        <s v="Japan"/>
        <s v="Lithuania"/>
        <s v="Netherlands"/>
        <s v="New Zealand"/>
        <s v="Norway"/>
        <s v="Poland"/>
        <s v="Portugal"/>
        <s v="Slovenia"/>
        <s v="South Korea"/>
        <s v="Spain"/>
        <s v="Sweden"/>
        <s v="Switzerland"/>
        <s v="United Kingdom"/>
        <s v="United States"/>
      </sharedItems>
    </cacheField>
    <cacheField name="[Measures].[Sum of MVC Deaths 2019 2]" caption="Sum of MVC Deaths 2019 2" numFmtId="0" hierarchy="23" level="32767"/>
    <cacheField name="[Measures].[Sum of MVC Death per 100k POP. 2019]" caption="Sum of MVC Death per 100k POP. 2019" numFmtId="0" hierarchy="27" level="32767"/>
    <cacheField name="[Range].[Country].[Country]" caption="Country" numFmtId="0" level="1">
      <sharedItems containsSemiMixedTypes="0" containsNonDate="0" containsString="0"/>
    </cacheField>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3"/>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2" memberValueDatatype="130" unbalanced="0">
      <fieldsUsage count="2">
        <fieldUsage x="-1"/>
        <fieldUsage x="0"/>
      </fieldsUsage>
    </cacheHierarchy>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573073611115" backgroundQuery="1" createdVersion="8" refreshedVersion="8" minRefreshableVersion="3" recordCount="0" supportSubquery="1" supportAdvancedDrill="1" xr:uid="{FE09F376-8C8C-45EC-9E6D-206AA1B1351D}">
  <cacheSource type="external" connectionId="1"/>
  <cacheFields count="4">
    <cacheField name="[Range 1].[Country].[Country]" caption="Country" numFmtId="0" hierarchy="9" level="1">
      <sharedItems count="29">
        <s v="Australia"/>
        <s v="Austria"/>
        <s v="Belgium"/>
        <s v="Canada"/>
        <s v="Chile††"/>
        <s v="Czechia"/>
        <s v="Denmark"/>
        <s v="Finland"/>
        <s v="France"/>
        <s v="Germany"/>
        <s v="Greece"/>
        <s v="Hungary"/>
        <s v="Ireland"/>
        <s v="Israel"/>
        <s v="Italy"/>
        <s v="Japan"/>
        <s v="Lithuania"/>
        <s v="Netherlands"/>
        <s v="New Zealand"/>
        <s v="Norway"/>
        <s v="Poland"/>
        <s v="Portugal"/>
        <s v="Slovenia"/>
        <s v="South Korea"/>
        <s v="Spain"/>
        <s v="Sweden"/>
        <s v="Switzerland"/>
        <s v="United Kingdom"/>
        <s v="United States"/>
      </sharedItems>
    </cacheField>
    <cacheField name="[Measures].[Sum of MVC Deaths 2015 2]" caption="Sum of MVC Deaths 2015 2" numFmtId="0" hierarchy="21" level="32767"/>
    <cacheField name="[Measures].[Count of MVC Death per 100k POP. 2015]" caption="Count of MVC Death per 100k POP. 2015" numFmtId="0" hierarchy="26" level="32767"/>
    <cacheField name="[Range].[Country].[Country]" caption="Country" numFmtId="0" level="1">
      <sharedItems containsSemiMixedTypes="0" containsNonDate="0" containsString="0"/>
    </cacheField>
  </cacheFields>
  <cacheHierarchies count="38">
    <cacheHierarchy uniqueName="[Range].[Country]" caption="Country" attribute="1" defaultMemberUniqueName="[Range].[Country].[All]" allUniqueName="[Range].[Country].[All]" dimensionUniqueName="[Range]" displayFolder="" count="2" memberValueDatatype="130" unbalanced="0">
      <fieldsUsage count="2">
        <fieldUsage x="-1"/>
        <fieldUsage x="3"/>
      </fieldsUsage>
    </cacheHierarchy>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2" memberValueDatatype="130" unbalanced="0">
      <fieldsUsage count="2">
        <fieldUsage x="-1"/>
        <fieldUsage x="0"/>
      </fieldsUsage>
    </cacheHierarchy>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8"/>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7"/>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6"/>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4"/>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3"/>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1"/>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2"/>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09.609416782405" backgroundQuery="1" createdVersion="3" refreshedVersion="8" minRefreshableVersion="3" recordCount="0" supportSubquery="1" supportAdvancedDrill="1" xr:uid="{82BBA494-244B-40C1-BB71-F7F774881253}">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Range].[Country]" caption="Country" attribute="1" defaultMemberUniqueName="[Range].[Country].[All]" allUniqueName="[Range].[Country].[All]" dimensionUniqueName="[Range]" displayFolder="" count="0" memberValueDatatype="130" unbalanced="0"/>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0"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0"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0"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0"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0"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0"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0"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0" memberValueDatatype="5" unbalanced="0"/>
    <cacheHierarchy uniqueName="[Range 1].[Country]" caption="Country" attribute="1" defaultMemberUniqueName="[Range 1].[Country].[All]" allUniqueName="[Range 1].[Country].[All]" dimensionUniqueName="[Range 1]" displayFolder="" count="0" memberValueDatatype="130" unbalanced="0"/>
    <cacheHierarchy uniqueName="[Range 1].[MVC Deaths 2015]" caption="MVC Deaths 2015" attribute="1" defaultMemberUniqueName="[Range 1].[MVC Deaths 2015].[All]" allUniqueName="[Range 1].[MVC Deaths 2015].[All]" dimensionUniqueName="[Range 1]" displayFolder="" count="0" memberValueDatatype="20" unbalanced="0"/>
    <cacheHierarchy uniqueName="[Range 1].[MVC Deaths 2019]" caption="MVC Deaths 2019" attribute="1" defaultMemberUniqueName="[Range 1].[MVC Deaths 2019].[All]" allUniqueName="[Range 1].[MVC Deaths 2019].[All]" dimensionUniqueName="[Range 1]" displayFolder="" count="0" memberValueDatatype="20" unbalanced="0"/>
    <cacheHierarchy uniqueName="[Range 1].[Population, 2015]" caption="Population, 2015" attribute="1" defaultMemberUniqueName="[Range 1].[Population, 2015].[All]" allUniqueName="[Range 1].[Population, 2015].[All]" dimensionUniqueName="[Range 1]" displayFolder="" count="0" memberValueDatatype="20" unbalanced="0"/>
    <cacheHierarchy uniqueName="[Range 1].[Population, 2019]" caption="Population, 2019" attribute="1" defaultMemberUniqueName="[Range 1].[Population, 2019].[All]" allUniqueName="[Range 1].[Population, 2019].[All]" dimensionUniqueName="[Range 1]" displayFolder="" count="0" memberValueDatatype="20" unbalanced="0"/>
    <cacheHierarchy uniqueName="[Range 1].[% Change, 2015 to 2019]" caption="% Change, 2015 to 2019" attribute="1" defaultMemberUniqueName="[Range 1].[% Change, 2015 to 2019].[All]" allUniqueName="[Range 1].[% Change, 2015 to 2019].[All]" dimensionUniqueName="[Range 1]" displayFolder="" count="0"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0"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0" memberValueDatatype="5" unbalanced="0"/>
    <cacheHierarchy uniqueName="[Range 1].[% Change, 2015 to 2019 2]" caption="% Change, 2015 to 2019 2" attribute="1" defaultMemberUniqueName="[Range 1].[% Change, 2015 to 2019 2].[All]" allUniqueName="[Range 1].[% Change, 2015 to 2019 2].[All]" dimensionUniqueName="[Range 1]" displayFolder="" count="0"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0"/>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2"/>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3"/>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9"/>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5"/>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6"/>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4"/>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7"/>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licerData="1" pivotCacheId="1040686544"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EMELA" refreshedDate="45010.304790393522" backgroundQuery="1" createdVersion="3" refreshedVersion="8" minRefreshableVersion="3" recordCount="0" supportSubquery="1" supportAdvancedDrill="1" xr:uid="{68A9D7E6-01FD-4F8D-882F-A8BAF445C9A9}">
  <cacheSource type="external" connectionId="1">
    <extLst>
      <ext xmlns:x14="http://schemas.microsoft.com/office/spreadsheetml/2009/9/main" uri="{F057638F-6D5F-4e77-A914-E7F072B9BCA8}">
        <x14:sourceConnection name="ThisWorkbookDataModel"/>
      </ext>
    </extLst>
  </cacheSource>
  <cacheFields count="0"/>
  <cacheHierarchies count="39">
    <cacheHierarchy uniqueName="[Measures]" caption="Measures" attribute="1" keyAttribute="1" defaultMemberUniqueName="[Measures].[__No measures defined]" dimensionUniqueName="[Measures]" displayFolder="" measures="1" count="1" memberValueDatatype="130" unbalanced="0"/>
    <cacheHierarchy uniqueName="[Range].[Country]" caption="Country" attribute="1" defaultMemberUniqueName="[Range].[Country].[All]" allUniqueName="[Range].[Country].[All]" dimensionUniqueName="[Range]" displayFolder="" count="2" memberValueDatatype="130" unbalanced="0"/>
    <cacheHierarchy uniqueName="[Range].[Vehicle miles traveled (in billions), 2015]" caption="Vehicle miles traveled (in billions), 2015" attribute="1" defaultMemberUniqueName="[Range].[Vehicle miles traveled (in billions), 2015].[All]" allUniqueName="[Range].[Vehicle miles traveled (in billions), 2015].[All]" dimensionUniqueName="[Range]" displayFolder="" count="2" memberValueDatatype="5" unbalanced="0"/>
    <cacheHierarchy uniqueName="[Range].[Vehicle miles traveled  (in billions), 2019]" caption="Vehicle miles traveled  (in billions), 2019" attribute="1" defaultMemberUniqueName="[Range].[Vehicle miles traveled  (in billions), 2019].[All]" allUniqueName="[Range].[Vehicle miles traveled  (in billions), 2019].[All]" dimensionUniqueName="[Range]" displayFolder="" count="2" memberValueDatatype="5" unbalanced="0"/>
    <cacheHierarchy uniqueName="[Range].[MVC deaths  per 100 million vehicle mile traveled 2015]" caption="MVC deaths  per 100 million vehicle mile traveled 2015" attribute="1" defaultMemberUniqueName="[Range].[MVC deaths  per 100 million vehicle mile traveled 2015].[All]" allUniqueName="[Range].[MVC deaths  per 100 million vehicle mile traveled 2015].[All]" dimensionUniqueName="[Range]" displayFolder="" count="2" memberValueDatatype="5" unbalanced="0"/>
    <cacheHierarchy uniqueName="[Range].[MVC deaths  per 100 million vehicle miles traveled2019]" caption="MVC deaths  per 100 million vehicle miles traveled2019" attribute="1" defaultMemberUniqueName="[Range].[MVC deaths  per 100 million vehicle miles traveled2019].[All]" allUniqueName="[Range].[MVC deaths  per 100 million vehicle miles traveled2019].[All]" dimensionUniqueName="[Range]" displayFolder="" count="2" memberValueDatatype="5" unbalanced="0"/>
    <cacheHierarchy uniqueName="[Range].[No. of registered vehicles, 2015]" caption="No. of registered vehicles, 2015" attribute="1" defaultMemberUniqueName="[Range].[No. of registered vehicles, 2015].[All]" allUniqueName="[Range].[No. of registered vehicles, 2015].[All]" dimensionUniqueName="[Range]" displayFolder="" count="2" memberValueDatatype="130" unbalanced="0"/>
    <cacheHierarchy uniqueName="[Range].[No. of registered vehicles, 2019]" caption="No. of registered vehicles, 2019" attribute="1" defaultMemberUniqueName="[Range].[No. of registered vehicles, 2019].[All]" allUniqueName="[Range].[No. of registered vehicles, 2019].[All]" dimensionUniqueName="[Range]" displayFolder="" count="2" memberValueDatatype="20" unbalanced="0"/>
    <cacheHierarchy uniqueName="[Range].[MVC deaths per 10,000 registered vehicles 2015]" caption="MVC deaths per 10,000 registered vehicles 2015" attribute="1" defaultMemberUniqueName="[Range].[MVC deaths per 10,000 registered vehicles 2015].[All]" allUniqueName="[Range].[MVC deaths per 10,000 registered vehicles 2015].[All]" dimensionUniqueName="[Range]" displayFolder="" count="2" memberValueDatatype="5" unbalanced="0"/>
    <cacheHierarchy uniqueName="[Range].[MVC deaths per 10,000 registered vehicles 2019]" caption="MVC deaths per 10,000 registered vehicles 2019" attribute="1" defaultMemberUniqueName="[Range].[MVC deaths per 10,000 registered vehicles 2019].[All]" allUniqueName="[Range].[MVC deaths per 10,000 registered vehicles 2019].[All]" dimensionUniqueName="[Range]" displayFolder="" count="2" memberValueDatatype="5" unbalanced="0"/>
    <cacheHierarchy uniqueName="[Range 1].[Country]" caption="Country" attribute="1" defaultMemberUniqueName="[Range 1].[Country].[All]" allUniqueName="[Range 1].[Country].[All]" dimensionUniqueName="[Range 1]" displayFolder="" count="2" memberValueDatatype="130" unbalanced="0"/>
    <cacheHierarchy uniqueName="[Range 1].[MVC Deaths 2015]" caption="MVC Deaths 2015" attribute="1" defaultMemberUniqueName="[Range 1].[MVC Deaths 2015].[All]" allUniqueName="[Range 1].[MVC Deaths 2015].[All]" dimensionUniqueName="[Range 1]" displayFolder="" count="2" memberValueDatatype="20" unbalanced="0"/>
    <cacheHierarchy uniqueName="[Range 1].[MVC Deaths 2019]" caption="MVC Deaths 2019" attribute="1" defaultMemberUniqueName="[Range 1].[MVC Deaths 2019].[All]" allUniqueName="[Range 1].[MVC Deaths 2019].[All]" dimensionUniqueName="[Range 1]" displayFolder="" count="2" memberValueDatatype="20" unbalanced="0"/>
    <cacheHierarchy uniqueName="[Range 1].[Population, 2015]" caption="Population, 2015" attribute="1" defaultMemberUniqueName="[Range 1].[Population, 2015].[All]" allUniqueName="[Range 1].[Population, 2015].[All]" dimensionUniqueName="[Range 1]" displayFolder="" count="2" memberValueDatatype="20" unbalanced="0"/>
    <cacheHierarchy uniqueName="[Range 1].[Population, 2019]" caption="Population, 2019" attribute="1" defaultMemberUniqueName="[Range 1].[Population, 2019].[All]" allUniqueName="[Range 1].[Population, 2019].[All]" dimensionUniqueName="[Range 1]" displayFolder="" count="2" memberValueDatatype="20" unbalanced="0"/>
    <cacheHierarchy uniqueName="[Range 1].[% Change, 2015 to 2019]" caption="% Change, 2015 to 2019" attribute="1" defaultMemberUniqueName="[Range 1].[% Change, 2015 to 2019].[All]" allUniqueName="[Range 1].[% Change, 2015 to 2019].[All]" dimensionUniqueName="[Range 1]" displayFolder="" count="2" memberValueDatatype="130" unbalanced="0"/>
    <cacheHierarchy uniqueName="[Range 1].[MVC Death per 100k POP. 2015]" caption="MVC Death per 100k POP. 2015" attribute="1" defaultMemberUniqueName="[Range 1].[MVC Death per 100k POP. 2015].[All]" allUniqueName="[Range 1].[MVC Death per 100k POP. 2015].[All]" dimensionUniqueName="[Range 1]" displayFolder="" count="2" memberValueDatatype="130" unbalanced="0"/>
    <cacheHierarchy uniqueName="[Range 1].[MVC Death per 100k POP. 2019]" caption="MVC Death per 100k POP. 2019" attribute="1" defaultMemberUniqueName="[Range 1].[MVC Death per 100k POP. 2019].[All]" allUniqueName="[Range 1].[MVC Death per 100k POP. 2019].[All]" dimensionUniqueName="[Range 1]" displayFolder="" count="2" memberValueDatatype="5" unbalanced="0"/>
    <cacheHierarchy uniqueName="[Range 1].[% Change, 2015 to 2019 2]" caption="% Change, 2015 to 2019 2" attribute="1" defaultMemberUniqueName="[Range 1].[% Change, 2015 to 2019 2].[All]" allUniqueName="[Range 1].[% Change, 2015 to 2019 2].[All]" dimensionUniqueName="[Range 1]" displayFolder="" count="2" memberValueDatatype="130" unbalanced="0"/>
    <cacheHierarchy uniqueName="[Measures].[__XL_Count Range 1]" caption="__XL_Count Range 1" measure="1" displayFolder="" measureGroup="Range 1" count="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MVC Deaths 2015 2]" caption="Sum of MVC Deaths 2015 2" measure="1" displayFolder="" measureGroup="Range 1" count="0" hidden="1">
      <extLst>
        <ext xmlns:x15="http://schemas.microsoft.com/office/spreadsheetml/2010/11/main" uri="{B97F6D7D-B522-45F9-BDA1-12C45D357490}">
          <x15:cacheHierarchy aggregatedColumn="11"/>
        </ext>
      </extLst>
    </cacheHierarchy>
    <cacheHierarchy uniqueName="[Measures].[Sum of Population, 2015]" caption="Sum of Population, 2015" measure="1" displayFolder="" measureGroup="Range 1" count="0" hidden="1">
      <extLst>
        <ext xmlns:x15="http://schemas.microsoft.com/office/spreadsheetml/2010/11/main" uri="{B97F6D7D-B522-45F9-BDA1-12C45D357490}">
          <x15:cacheHierarchy aggregatedColumn="13"/>
        </ext>
      </extLst>
    </cacheHierarchy>
    <cacheHierarchy uniqueName="[Measures].[Sum of MVC Deaths 2019 2]" caption="Sum of MVC Deaths 2019 2" measure="1" displayFolder="" measureGroup="Range 1" count="0" hidden="1">
      <extLst>
        <ext xmlns:x15="http://schemas.microsoft.com/office/spreadsheetml/2010/11/main" uri="{B97F6D7D-B522-45F9-BDA1-12C45D357490}">
          <x15:cacheHierarchy aggregatedColumn="12"/>
        </ext>
      </extLst>
    </cacheHierarchy>
    <cacheHierarchy uniqueName="[Measures].[Sum of Population, 2019]" caption="Sum of Population, 2019" measure="1" displayFolder="" measureGroup="Range 1" count="0" hidden="1">
      <extLst>
        <ext xmlns:x15="http://schemas.microsoft.com/office/spreadsheetml/2010/11/main" uri="{B97F6D7D-B522-45F9-BDA1-12C45D357490}">
          <x15:cacheHierarchy aggregatedColumn="14"/>
        </ext>
      </extLst>
    </cacheHierarchy>
    <cacheHierarchy uniqueName="[Measures].[Count of Country]" caption="Count of Country" measure="1" displayFolder="" measureGroup="Range 1" count="0" hidden="1">
      <extLst>
        <ext xmlns:x15="http://schemas.microsoft.com/office/spreadsheetml/2010/11/main" uri="{B97F6D7D-B522-45F9-BDA1-12C45D357490}">
          <x15:cacheHierarchy aggregatedColumn="10"/>
        </ext>
      </extLst>
    </cacheHierarchy>
    <cacheHierarchy uniqueName="[Measures].[Count of MVC Death per 100k POP. 2015]" caption="Count of MVC Death per 100k POP. 2015" measure="1" displayFolder="" measureGroup="Range 1" count="0" hidden="1">
      <extLst>
        <ext xmlns:x15="http://schemas.microsoft.com/office/spreadsheetml/2010/11/main" uri="{B97F6D7D-B522-45F9-BDA1-12C45D357490}">
          <x15:cacheHierarchy aggregatedColumn="16"/>
        </ext>
      </extLst>
    </cacheHierarchy>
    <cacheHierarchy uniqueName="[Measures].[Sum of MVC Death per 100k POP. 2019]" caption="Sum of MVC Death per 100k POP. 2019" measure="1" displayFolder="" measureGroup="Range 1" count="0" hidden="1">
      <extLst>
        <ext xmlns:x15="http://schemas.microsoft.com/office/spreadsheetml/2010/11/main" uri="{B97F6D7D-B522-45F9-BDA1-12C45D357490}">
          <x15:cacheHierarchy aggregatedColumn="17"/>
        </ext>
      </extLst>
    </cacheHierarchy>
    <cacheHierarchy uniqueName="[Measures].[Count of % Change, 2015 to 2019]" caption="Count of % Change, 2015 to 2019" measure="1" displayFolder="" measureGroup="Range 1" count="0" hidden="1">
      <extLst>
        <ext xmlns:x15="http://schemas.microsoft.com/office/spreadsheetml/2010/11/main" uri="{B97F6D7D-B522-45F9-BDA1-12C45D357490}">
          <x15:cacheHierarchy aggregatedColumn="15"/>
        </ext>
      </extLst>
    </cacheHierarchy>
    <cacheHierarchy uniqueName="[Measures].[Count of % Change, 2015 to 2019 2]" caption="Count of % Change, 2015 to 2019 2" measure="1" displayFolder="" measureGroup="Range 1" count="0" hidden="1">
      <extLst>
        <ext xmlns:x15="http://schemas.microsoft.com/office/spreadsheetml/2010/11/main" uri="{B97F6D7D-B522-45F9-BDA1-12C45D357490}">
          <x15:cacheHierarchy aggregatedColumn="18"/>
        </ext>
      </extLst>
    </cacheHierarchy>
    <cacheHierarchy uniqueName="[Measures].[Sum of MVC deaths per 10,000 registered vehicles 2019]" caption="Sum of MVC deaths per 10,000 registered vehicles 2019" measure="1" displayFolder="" measureGroup="Range" count="0" hidden="1">
      <extLst>
        <ext xmlns:x15="http://schemas.microsoft.com/office/spreadsheetml/2010/11/main" uri="{B97F6D7D-B522-45F9-BDA1-12C45D357490}">
          <x15:cacheHierarchy aggregatedColumn="9"/>
        </ext>
      </extLst>
    </cacheHierarchy>
    <cacheHierarchy uniqueName="[Measures].[Sum of MVC deaths per 10,000 registered vehicles 2015]" caption="Sum of MVC deaths per 10,000 registered vehicles 2015" measure="1" displayFolder="" measureGroup="Range" count="0" hidden="1">
      <extLst>
        <ext xmlns:x15="http://schemas.microsoft.com/office/spreadsheetml/2010/11/main" uri="{B97F6D7D-B522-45F9-BDA1-12C45D357490}">
          <x15:cacheHierarchy aggregatedColumn="8"/>
        </ext>
      </extLst>
    </cacheHierarchy>
    <cacheHierarchy uniqueName="[Measures].[Sum of No. of registered vehicles, 2019]" caption="Sum of No. of registered vehicles, 2019" measure="1" displayFolder="" measureGroup="Range" count="0" hidden="1">
      <extLst>
        <ext xmlns:x15="http://schemas.microsoft.com/office/spreadsheetml/2010/11/main" uri="{B97F6D7D-B522-45F9-BDA1-12C45D357490}">
          <x15:cacheHierarchy aggregatedColumn="7"/>
        </ext>
      </extLst>
    </cacheHierarchy>
    <cacheHierarchy uniqueName="[Measures].[Sum of MVC deaths  per 100 million vehicle miles traveled2019]" caption="Sum of MVC deaths  per 100 million vehicle miles traveled2019" measure="1" displayFolder="" measureGroup="Range" count="0" hidden="1">
      <extLst>
        <ext xmlns:x15="http://schemas.microsoft.com/office/spreadsheetml/2010/11/main" uri="{B97F6D7D-B522-45F9-BDA1-12C45D357490}">
          <x15:cacheHierarchy aggregatedColumn="5"/>
        </ext>
      </extLst>
    </cacheHierarchy>
    <cacheHierarchy uniqueName="[Measures].[Sum of MVC deaths  per 100 million vehicle mile traveled 2015]" caption="Sum of MVC deaths  per 100 million vehicle mile traveled 2015" measure="1" displayFolder="" measureGroup="Range" count="0" hidden="1">
      <extLst>
        <ext xmlns:x15="http://schemas.microsoft.com/office/spreadsheetml/2010/11/main" uri="{B97F6D7D-B522-45F9-BDA1-12C45D357490}">
          <x15:cacheHierarchy aggregatedColumn="4"/>
        </ext>
      </extLst>
    </cacheHierarchy>
    <cacheHierarchy uniqueName="[Measures].[Sum of Vehicle miles traveled (in billions), 2015]" caption="Sum of Vehicle miles traveled (in billions), 2015" measure="1" displayFolder="" measureGroup="Range" count="0" hidden="1">
      <extLst>
        <ext xmlns:x15="http://schemas.microsoft.com/office/spreadsheetml/2010/11/main" uri="{B97F6D7D-B522-45F9-BDA1-12C45D357490}">
          <x15:cacheHierarchy aggregatedColumn="2"/>
        </ext>
      </extLst>
    </cacheHierarchy>
    <cacheHierarchy uniqueName="[Measures].[Sum of Vehicle miles traveled  (in billions), 2019]" caption="Sum of Vehicle miles traveled  (in billions), 2019" measure="1" displayFolder="" measureGroup="Range" count="0" hidden="1">
      <extLst>
        <ext xmlns:x15="http://schemas.microsoft.com/office/spreadsheetml/2010/11/main" uri="{B97F6D7D-B522-45F9-BDA1-12C45D357490}">
          <x15:cacheHierarchy aggregatedColumn="3"/>
        </ext>
      </extLst>
    </cacheHierarchy>
    <cacheHierarchy uniqueName="[Measures].[Count of No. of registered vehicles, 2015]" caption="Count of No. of registered vehicles, 2015" measure="1" displayFolder="" measureGroup="Range" count="0" hidden="1">
      <extLst>
        <ext xmlns:x15="http://schemas.microsoft.com/office/spreadsheetml/2010/11/main" uri="{B97F6D7D-B522-45F9-BDA1-12C45D357490}">
          <x15:cacheHierarchy aggregatedColumn="6"/>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licerData="1" pivotCacheId="156289145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739A97-E5BD-4FA0-9B80-AC5DBA185525}" name="PivotTable11"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E1:AG18" firstHeaderRow="1" firstDataRow="1" firstDataCol="0"/>
  <pivotFields count="2">
    <pivotField allDrilled="1" subtotalTop="0" showAll="0" dataSourceSort="1" defaultSubtotal="0" defaultAttributeDrillState="1"/>
    <pivotField allDrilled="1" subtotalTop="0" showAll="0" dataSourceSort="1" defaultSubtotal="0" defaultAttributeDrillState="1"/>
  </pivotFields>
  <pivotHierarchies count="38">
    <pivotHierarchy multipleItemSelectionAllowed="1" dragToData="1">
      <members count="1" level="1">
        <member name="[Range].[Country].&amp;[Austri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1:$I$3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65FE46-DC97-4F0A-85AB-BE2CB95705D9}" name="PivotTable10"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Y1:AC31" firstHeaderRow="0" firstDataRow="1" firstDataCol="1"/>
  <pivotFields count="6">
    <pivotField axis="axisRow"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Fields count="1">
    <field x="-2"/>
  </colFields>
  <colItems count="4">
    <i>
      <x/>
    </i>
    <i i="1">
      <x v="1"/>
    </i>
    <i i="2">
      <x v="2"/>
    </i>
    <i i="3">
      <x v="3"/>
    </i>
  </colItems>
  <dataFields count="4">
    <dataField name="Sum of MVC Deaths 2015" fld="1" baseField="0" baseItem="0"/>
    <dataField name="Sum of MVC Deaths 2019" fld="2" baseField="0" baseItem="0"/>
    <dataField name="Sum of Population, 2015" fld="3" baseField="0" baseItem="0"/>
    <dataField name="Sum of Population, 2019" fld="4"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 chart="4" format="16" series="1">
      <pivotArea type="data" outline="0" fieldPosition="0">
        <references count="1">
          <reference field="4294967294" count="1" selected="0">
            <x v="0"/>
          </reference>
        </references>
      </pivotArea>
    </chartFormat>
    <chartFormat chart="4" format="17" series="1">
      <pivotArea type="data" outline="0" fieldPosition="0">
        <references count="1">
          <reference field="4294967294" count="1" selected="0">
            <x v="1"/>
          </reference>
        </references>
      </pivotArea>
    </chartFormat>
    <chartFormat chart="4" format="18" series="1">
      <pivotArea type="data" outline="0" fieldPosition="0">
        <references count="1">
          <reference field="4294967294" count="1" selected="0">
            <x v="2"/>
          </reference>
        </references>
      </pivotArea>
    </chartFormat>
    <chartFormat chart="4" format="19" series="1">
      <pivotArea type="data" outline="0" fieldPosition="0">
        <references count="1">
          <reference field="4294967294" count="1" selected="0">
            <x v="3"/>
          </reference>
        </references>
      </pivotArea>
    </chartFormat>
  </chartFormats>
  <pivotHierarchies count="38">
    <pivotHierarchy multipleItemSelectionAllowed="1" dragToData="1">
      <members count="1" level="1">
        <member name="[Range].[Country].&amp;[Austri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1:$I$3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640F12-E693-45A7-8102-A2F3BEA94ED9}" name="PivotTable9" cacheId="1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P1:R31" firstHeaderRow="0" firstDataRow="1" firstDataCol="1"/>
  <pivotFields count="4">
    <pivotField axis="axisRow"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Fields count="1">
    <field x="-2"/>
  </colFields>
  <colItems count="2">
    <i>
      <x/>
    </i>
    <i i="1">
      <x v="1"/>
    </i>
  </colItems>
  <dataFields count="2">
    <dataField name="Sum of MVC Deaths 2015" fld="1" baseField="0" baseItem="0"/>
    <dataField name="Count of MVC Death per 100k POP. 2015" fld="2"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38">
    <pivotHierarchy multipleItemSelectionAllowed="1" dragToData="1">
      <members count="1" level="1">
        <member name="[Range].[Country].&amp;[Austri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1:$I$3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2747A1-6B7C-4249-AD0B-63EE95D4F991}" name="PivotTable6" cacheId="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I1:K31" firstHeaderRow="0" firstDataRow="1" firstDataCol="1"/>
  <pivotFields count="4">
    <pivotField axis="axisRow"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Fields count="1">
    <field x="-2"/>
  </colFields>
  <colItems count="2">
    <i>
      <x/>
    </i>
    <i i="1">
      <x v="1"/>
    </i>
  </colItems>
  <dataFields count="2">
    <dataField name="Sum of MVC Deaths 2019" fld="1" baseField="0" baseItem="0"/>
    <dataField name="Sum of MVC Death per 100k POP. 2019"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38">
    <pivotHierarchy multipleItemSelectionAllowed="1" dragToData="1">
      <members count="1" level="1">
        <member name="[Range].[Country].&amp;[Austri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1:$I$3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23CF36-C4A6-435F-8E55-10F12D608078}" name="PivotTable4" cacheId="1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E1:G31" firstHeaderRow="0" firstDataRow="1" firstDataCol="1"/>
  <pivotFields count="4">
    <pivotField axis="axisRow"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Fields count="1">
    <field x="-2"/>
  </colFields>
  <colItems count="2">
    <i>
      <x/>
    </i>
    <i i="1">
      <x v="1"/>
    </i>
  </colItems>
  <dataFields count="2">
    <dataField name="Sum of MVC Deaths 2019" fld="1" baseField="0" baseItem="0"/>
    <dataField name="Sum of Population, 2019"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s>
  <pivotHierarchies count="38">
    <pivotHierarchy multipleItemSelectionAllowed="1" dragToData="1">
      <members count="1" level="1">
        <member name="[Range].[Country].&amp;[Austri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1:$I$3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86378E-28BA-43B7-97BA-EAF4880B482B}" name="PivotTable3"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1:C31" firstHeaderRow="0" firstDataRow="1" firstDataCol="1"/>
  <pivotFields count="4">
    <pivotField axis="axisRow"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Fields count="1">
    <field x="-2"/>
  </colFields>
  <colItems count="2">
    <i>
      <x/>
    </i>
    <i i="1">
      <x v="1"/>
    </i>
  </colItems>
  <dataFields count="2">
    <dataField name="Sum of MVC Deaths 2015" fld="1" baseField="0" baseItem="0"/>
    <dataField name="Sum of Population, 2015" fld="2"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1"/>
          </reference>
        </references>
      </pivotArea>
    </chartFormat>
  </chartFormats>
  <pivotHierarchies count="38">
    <pivotHierarchy multipleItemSelectionAllowed="1" dragToData="1">
      <members count="1" level="1">
        <member name="[Range].[Country].&amp;[Austria]"/>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1:$I$3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E5D27D-82DB-4AF5-B532-1464180B4244}" name="PivotTable14"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D1:F30" firstHeaderRow="0" firstDataRow="1"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dataField="1" subtotalTop="0" showAll="0" defaultSubtotal="0"/>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Sum of No. of registered vehicles, 2019" fld="1" baseField="0" baseItem="0"/>
    <dataField name="Sum of MVC deaths per 10,000 registered vehicles 2019"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3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 2!$A$1:$I$29">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CC5F92F-E89A-4706-B905-AD129FFFA996}" name="PivotTable13"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C32" firstHeaderRow="0" firstDataRow="1"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dataField="1" subtotalTop="0" showAll="0" defaultSubtotal="0"/>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Sum of Vehicle miles traveled  (in billions), 2019" fld="1" baseField="0" baseItem="0"/>
    <dataField name="Sum of MVC deaths  per 100 million vehicle miles traveled2019" fld="2"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s>
  <pivotHierarchies count="3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 2!$A$1:$I$29">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32D686-8D65-4C9D-904C-26EB3D32F6F1}" name="PivotTable17" cacheId="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S1:AA30" firstHeaderRow="0" firstDataRow="1" firstDataCol="1"/>
  <pivotFields count="9">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8">
    <i>
      <x/>
    </i>
    <i i="1">
      <x v="1"/>
    </i>
    <i i="2">
      <x v="2"/>
    </i>
    <i i="3">
      <x v="3"/>
    </i>
    <i i="4">
      <x v="4"/>
    </i>
    <i i="5">
      <x v="5"/>
    </i>
    <i i="6">
      <x v="6"/>
    </i>
    <i i="7">
      <x v="7"/>
    </i>
  </colItems>
  <dataFields count="8">
    <dataField name="Sum of MVC deaths per 10,000 registered vehicles 2019" fld="1" baseField="0" baseItem="0"/>
    <dataField name="Sum of MVC deaths per 10,000 registered vehicles 2015" fld="2" baseField="0" baseItem="0"/>
    <dataField name="Sum of No. of registered vehicles, 2019" fld="3" baseField="0" baseItem="0"/>
    <dataField name="Count of No. of registered vehicles, 2015" fld="4" subtotal="count" baseField="0" baseItem="0"/>
    <dataField name="Sum of Vehicle miles traveled (in billions), 2015" fld="5" baseField="0" baseItem="0"/>
    <dataField name="Sum of Vehicle miles traveled  (in billions), 2019" fld="6" baseField="0" baseItem="0"/>
    <dataField name="Sum of MVC deaths  per 100 million vehicle mile traveled 2015" fld="7" baseField="0" baseItem="0"/>
    <dataField name="Sum of MVC deaths  per 100 million vehicle miles traveled2019" fld="8"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2" format="16"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1"/>
          </reference>
        </references>
      </pivotArea>
    </chartFormat>
    <chartFormat chart="2" format="18" series="1">
      <pivotArea type="data" outline="0" fieldPosition="0">
        <references count="1">
          <reference field="4294967294" count="1" selected="0">
            <x v="2"/>
          </reference>
        </references>
      </pivotArea>
    </chartFormat>
    <chartFormat chart="2" format="19" series="1">
      <pivotArea type="data" outline="0" fieldPosition="0">
        <references count="1">
          <reference field="4294967294" count="1" selected="0">
            <x v="3"/>
          </reference>
        </references>
      </pivotArea>
    </chartFormat>
    <chartFormat chart="2" format="20" series="1">
      <pivotArea type="data" outline="0" fieldPosition="0">
        <references count="1">
          <reference field="4294967294" count="1" selected="0">
            <x v="4"/>
          </reference>
        </references>
      </pivotArea>
    </chartFormat>
    <chartFormat chart="2" format="21" series="1">
      <pivotArea type="data" outline="0" fieldPosition="0">
        <references count="1">
          <reference field="4294967294" count="1" selected="0">
            <x v="5"/>
          </reference>
        </references>
      </pivotArea>
    </chartFormat>
    <chartFormat chart="2" format="22" series="1">
      <pivotArea type="data" outline="0" fieldPosition="0">
        <references count="1">
          <reference field="4294967294" count="1" selected="0">
            <x v="6"/>
          </reference>
        </references>
      </pivotArea>
    </chartFormat>
    <chartFormat chart="2" format="23" series="1">
      <pivotArea type="data" outline="0" fieldPosition="0">
        <references count="1">
          <reference field="4294967294" count="1" selected="0">
            <x v="7"/>
          </reference>
        </references>
      </pivotArea>
    </chartFormat>
    <chartFormat chart="5" format="32" series="1">
      <pivotArea type="data" outline="0" fieldPosition="0">
        <references count="1">
          <reference field="4294967294" count="1" selected="0">
            <x v="0"/>
          </reference>
        </references>
      </pivotArea>
    </chartFormat>
    <chartFormat chart="5" format="33" series="1">
      <pivotArea type="data" outline="0" fieldPosition="0">
        <references count="1">
          <reference field="4294967294" count="1" selected="0">
            <x v="1"/>
          </reference>
        </references>
      </pivotArea>
    </chartFormat>
    <chartFormat chart="5" format="34" series="1">
      <pivotArea type="data" outline="0" fieldPosition="0">
        <references count="1">
          <reference field="4294967294" count="1" selected="0">
            <x v="2"/>
          </reference>
        </references>
      </pivotArea>
    </chartFormat>
    <chartFormat chart="5" format="35" series="1">
      <pivotArea type="data" outline="0" fieldPosition="0">
        <references count="1">
          <reference field="4294967294" count="1" selected="0">
            <x v="3"/>
          </reference>
        </references>
      </pivotArea>
    </chartFormat>
    <chartFormat chart="5" format="36" series="1">
      <pivotArea type="data" outline="0" fieldPosition="0">
        <references count="1">
          <reference field="4294967294" count="1" selected="0">
            <x v="4"/>
          </reference>
        </references>
      </pivotArea>
    </chartFormat>
    <chartFormat chart="5" format="37" series="1">
      <pivotArea type="data" outline="0" fieldPosition="0">
        <references count="1">
          <reference field="4294967294" count="1" selected="0">
            <x v="5"/>
          </reference>
        </references>
      </pivotArea>
    </chartFormat>
    <chartFormat chart="5" format="38" series="1">
      <pivotArea type="data" outline="0" fieldPosition="0">
        <references count="1">
          <reference field="4294967294" count="1" selected="0">
            <x v="6"/>
          </reference>
        </references>
      </pivotArea>
    </chartFormat>
    <chartFormat chart="5" format="39" series="1">
      <pivotArea type="data" outline="0" fieldPosition="0">
        <references count="1">
          <reference field="4294967294" count="1" selected="0">
            <x v="7"/>
          </reference>
        </references>
      </pivotArea>
    </chartFormat>
  </chartFormats>
  <pivotHierarchies count="3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 2!$A$1:$I$29">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3832DA-E3AE-4A93-876A-83CB6590A860}" name="PivotTable16"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M1:O30" firstHeaderRow="0" firstDataRow="1" firstDataCol="1"/>
  <pivotFields count="3">
    <pivotField axis="axisRow" allDrilled="1" subtotalTop="0" showAll="0" sortType="descending" defaultSubtotal="0" defaultAttributeDrillState="1">
      <items count="28">
        <item x="27"/>
        <item x="26"/>
        <item x="25"/>
        <item x="24"/>
        <item x="23"/>
        <item x="22"/>
        <item x="21"/>
        <item x="20"/>
        <item x="19"/>
        <item x="18"/>
        <item x="17"/>
        <item x="16"/>
        <item x="15"/>
        <item x="14"/>
        <item x="13"/>
        <item x="12"/>
        <item x="11"/>
        <item x="10"/>
        <item x="9"/>
        <item x="8"/>
        <item x="7"/>
        <item x="6"/>
        <item x="5"/>
        <item x="4"/>
        <item x="3"/>
        <item x="2"/>
        <item x="1"/>
        <item x="0"/>
      </items>
    </pivotField>
    <pivotField dataField="1" subtotalTop="0" showAll="0" defaultSubtotal="0"/>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Sum of MVC deaths per 10,000 registered vehicles 2015" fld="1" baseField="0" baseItem="0"/>
    <dataField name="Count of No. of registered vehicles, 2015" fld="2" subtotal="count"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3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 2!$A$1:$I$29">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0468DF0-A75C-49B8-877E-D22071FDA38D}" name="PivotTable15"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H1:J30" firstHeaderRow="0" firstDataRow="1"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dataField="1" subtotalTop="0" showAll="0" defaultSubtotal="0"/>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Sum of Vehicle miles traveled (in billions), 2015" fld="1" baseField="0" baseItem="0"/>
    <dataField name="Sum of MVC deaths  per 100 million vehicle mile traveled 2015"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38">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 2!$A$1:$I$29">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8F3D2421-59C5-4884-B808-B883C4BBCA6A}" sourceName="[Range 1].[Country]">
  <pivotTables>
    <pivotTable tabId="7" name="PivotTable3"/>
    <pivotTable tabId="7" name="PivotTable10"/>
    <pivotTable tabId="7" name="PivotTable11"/>
    <pivotTable tabId="7" name="PivotTable4"/>
    <pivotTable tabId="7" name="PivotTable6"/>
    <pivotTable tabId="7" name="PivotTable9"/>
  </pivotTables>
  <data>
    <olap pivotCacheId="1040686544">
      <levels count="2">
        <level uniqueName="[Range 1].[Country].[(All)]" sourceCaption="(All)" count="0"/>
        <level uniqueName="[Range 1].[Country].[Country]" sourceCaption="Country" count="29">
          <ranges>
            <range startItem="0">
              <i n="[Range 1].[Country].&amp;[Australia]" c="Australia"/>
              <i n="[Range 1].[Country].&amp;[Austria]" c="Austria"/>
              <i n="[Range 1].[Country].&amp;[Belgium]" c="Belgium"/>
              <i n="[Range 1].[Country].&amp;[Canada]" c="Canada"/>
              <i n="[Range 1].[Country].&amp;[Chile††]" c="Chile††"/>
              <i n="[Range 1].[Country].&amp;[Czechia]" c="Czechia"/>
              <i n="[Range 1].[Country].&amp;[Denmark]" c="Denmark"/>
              <i n="[Range 1].[Country].&amp;[Finland]" c="Finland"/>
              <i n="[Range 1].[Country].&amp;[France]" c="France"/>
              <i n="[Range 1].[Country].&amp;[Germany]" c="Germany"/>
              <i n="[Range 1].[Country].&amp;[Greece]" c="Greece"/>
              <i n="[Range 1].[Country].&amp;[Hungary]" c="Hungary"/>
              <i n="[Range 1].[Country].&amp;[Ireland]" c="Ireland"/>
              <i n="[Range 1].[Country].&amp;[Israel]" c="Israel"/>
              <i n="[Range 1].[Country].&amp;[Italy]" c="Italy"/>
              <i n="[Range 1].[Country].&amp;[Japan]" c="Japan"/>
              <i n="[Range 1].[Country].&amp;[Lithuania]" c="Lithuania"/>
              <i n="[Range 1].[Country].&amp;[Netherlands]" c="Netherlands"/>
              <i n="[Range 1].[Country].&amp;[New Zealand]" c="New Zealand"/>
              <i n="[Range 1].[Country].&amp;[Norway]" c="Norway"/>
              <i n="[Range 1].[Country].&amp;[Poland]" c="Poland"/>
              <i n="[Range 1].[Country].&amp;[Portugal]" c="Portugal"/>
              <i n="[Range 1].[Country].&amp;[Slovenia]" c="Slovenia"/>
              <i n="[Range 1].[Country].&amp;[South Korea]" c="South Korea"/>
              <i n="[Range 1].[Country].&amp;[Spain]" c="Spain"/>
              <i n="[Range 1].[Country].&amp;[Sweden]" c="Sweden"/>
              <i n="[Range 1].[Country].&amp;[Switzerland]" c="Switzerland"/>
              <i n="[Range 1].[Country].&amp;[United Kingdom]" c="United Kingdom"/>
              <i n="[Range 1].[Country].&amp;[United States]" c="United States"/>
            </range>
          </ranges>
        </level>
      </levels>
      <selections count="1">
        <selection n="[Range 1].[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72917DF-E6DF-41C8-98AE-4D7087C1E182}" sourceName="[Range].[Country]">
  <pivotTables>
    <pivotTable tabId="12" name="PivotTable13"/>
    <pivotTable tabId="12" name="PivotTable14"/>
    <pivotTable tabId="12" name="PivotTable15"/>
    <pivotTable tabId="12" name="PivotTable16"/>
    <pivotTable tabId="12" name="PivotTable17"/>
  </pivotTables>
  <data>
    <olap pivotCacheId="1562891451">
      <levels count="2">
        <level uniqueName="[Range].[Country].[(All)]" sourceCaption="(All)" count="0"/>
        <level uniqueName="[Range].[Country].[Country]" sourceCaption="Country" count="28">
          <ranges>
            <range startItem="0">
              <i n="[Range].[Country].&amp;[Australia]" c="Australia"/>
              <i n="[Range].[Country].&amp;[Austria]" c="Austria"/>
              <i n="[Range].[Country].&amp;[Belgium]" c="Belgium"/>
              <i n="[Range].[Country].&amp;[Canada]" c="Canada"/>
              <i n="[Range].[Country].&amp;[Chile***]" c="Chile***"/>
              <i n="[Range].[Country].&amp;[Czechia]" c="Czechia"/>
              <i n="[Range].[Country].&amp;[Denmark]" c="Denmark"/>
              <i n="[Range].[Country].&amp;[Finland†††]" c="Finland†††"/>
              <i n="[Range].[Country].&amp;[France]" c="France"/>
              <i n="[Range].[Country].&amp;[Germany†††]" c="Germany†††"/>
              <i n="[Range].[Country].&amp;[Greece]" c="Greece"/>
              <i n="[Range].[Country].&amp;[Hungary]" c="Hungary"/>
              <i n="[Range].[Country].&amp;[Ireland]" c="Ireland"/>
              <i n="[Range].[Country].&amp;[Israel]" c="Israel"/>
              <i n="[Range].[Country].&amp;[Italy]" c="Italy"/>
              <i n="[Range].[Country].&amp;[Japan]" c="Japan"/>
              <i n="[Range].[Country].&amp;[Lithuania]" c="Lithuania"/>
              <i n="[Range].[Country].&amp;[Netherlands]" c="Netherlands"/>
              <i n="[Range].[Country].&amp;[New Zealand]" c="New Zealand"/>
              <i n="[Range].[Country].&amp;[Norway]" c="Norway"/>
              <i n="[Range].[Country].&amp;[Poland]" c="Poland"/>
              <i n="[Range].[Country].&amp;[Slovenia†††]" c="Slovenia†††"/>
              <i n="[Range].[Country].&amp;[South Korea]" c="South Korea"/>
              <i n="[Range].[Country].&amp;[Spain]" c="Spain"/>
              <i n="[Range].[Country].&amp;[Sweden]" c="Sweden"/>
              <i n="[Range].[Country].&amp;[Switzerland]" c="Switzerland"/>
              <i n="[Range].[Country].&amp;[United Kingdom]" c="United Kingdom"/>
              <i n="[Range].[Country].&amp;[United States]" c="United States"/>
            </range>
          </ranges>
        </level>
      </levels>
      <selections count="1">
        <selection n="[Range].[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2" xr10:uid="{8D30B2E1-3353-4D64-9371-011F83A9F6DE}" cache="Slicer_Country1" caption="Country" startItem="3" columnCount="3" level="1" style="SlicerStyleOther2"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DC9D3319-94B5-4F49-B067-2AA6B276A4BE}" cache="Slicer_Country" caption="Country" columnCount="3" level="1" rowHeight="14400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swov.nl/en/fact-sheet/road-deaths-netherland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07/relationships/slicer" Target="../slicers/slicer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hyperlink" Target="https://swov.nl/en/fact-sheet/road-deaths-netherlands" TargetMode="Externa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drawing" Target="../drawings/drawing3.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4.xml"/><Relationship Id="rId5" Type="http://schemas.microsoft.com/office/2007/relationships/slicer" Target="../slicers/slicer2.xml"/><Relationship Id="rId4" Type="http://schemas.openxmlformats.org/officeDocument/2006/relationships/image" Target="../media/image2.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control" Target="../activeX/activeX4.xml"/><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J999"/>
  <sheetViews>
    <sheetView workbookViewId="0">
      <selection activeCell="A33" sqref="A33:AJ33"/>
    </sheetView>
  </sheetViews>
  <sheetFormatPr defaultColWidth="12.5703125" defaultRowHeight="15.75" customHeight="1"/>
  <cols>
    <col min="1" max="7" width="6" customWidth="1"/>
    <col min="8" max="8" width="7.42578125" customWidth="1"/>
    <col min="9" max="9" width="4" customWidth="1"/>
    <col min="10" max="14" width="2.28515625" customWidth="1"/>
    <col min="15" max="18" width="6.140625" customWidth="1"/>
    <col min="19" max="23" width="4.7109375" customWidth="1"/>
    <col min="24" max="27" width="6" customWidth="1"/>
    <col min="28" max="30" width="6.7109375" customWidth="1"/>
    <col min="31" max="33" width="6.42578125" customWidth="1"/>
    <col min="34" max="36" width="7.42578125" customWidth="1"/>
  </cols>
  <sheetData>
    <row r="1" spans="1:36">
      <c r="A1" s="55" t="s">
        <v>0</v>
      </c>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1"/>
      <c r="AD1" s="1"/>
      <c r="AE1" s="1"/>
      <c r="AF1" s="1"/>
      <c r="AG1" s="1"/>
      <c r="AH1" s="1"/>
      <c r="AI1" s="1"/>
      <c r="AJ1" s="1"/>
    </row>
    <row r="2" spans="1:36">
      <c r="A2" s="56" t="s">
        <v>1</v>
      </c>
      <c r="B2" s="50"/>
      <c r="C2" s="50"/>
      <c r="D2" s="50"/>
      <c r="E2" s="50"/>
      <c r="F2" s="50"/>
      <c r="G2" s="50"/>
      <c r="H2" s="53" t="s">
        <v>2</v>
      </c>
      <c r="I2" s="50"/>
      <c r="J2" s="50"/>
      <c r="K2" s="50"/>
      <c r="L2" s="50"/>
      <c r="M2" s="50"/>
      <c r="N2" s="50"/>
      <c r="O2" s="57"/>
      <c r="P2" s="50"/>
      <c r="Q2" s="50"/>
      <c r="R2" s="50"/>
      <c r="S2" s="53" t="s">
        <v>3</v>
      </c>
      <c r="T2" s="50"/>
      <c r="U2" s="50"/>
      <c r="V2" s="50"/>
      <c r="W2" s="50"/>
      <c r="X2" s="53" t="s">
        <v>4</v>
      </c>
      <c r="Y2" s="50"/>
      <c r="Z2" s="50"/>
      <c r="AA2" s="50"/>
      <c r="AB2" s="54" t="s">
        <v>5</v>
      </c>
      <c r="AC2" s="50"/>
      <c r="AD2" s="50"/>
      <c r="AE2" s="50"/>
      <c r="AF2" s="50"/>
      <c r="AG2" s="50"/>
      <c r="AH2" s="50"/>
      <c r="AI2" s="50"/>
      <c r="AJ2" s="50"/>
    </row>
    <row r="3" spans="1:36">
      <c r="A3" s="50"/>
      <c r="B3" s="50"/>
      <c r="C3" s="50"/>
      <c r="D3" s="50"/>
      <c r="E3" s="50"/>
      <c r="F3" s="50"/>
      <c r="G3" s="50"/>
      <c r="H3" s="53">
        <v>2015</v>
      </c>
      <c r="I3" s="50"/>
      <c r="J3" s="53" t="s">
        <v>6</v>
      </c>
      <c r="K3" s="50"/>
      <c r="L3" s="50"/>
      <c r="M3" s="50"/>
      <c r="N3" s="50"/>
      <c r="O3" s="54" t="s">
        <v>7</v>
      </c>
      <c r="P3" s="50"/>
      <c r="Q3" s="50"/>
      <c r="R3" s="50"/>
      <c r="S3" s="50"/>
      <c r="T3" s="50"/>
      <c r="U3" s="50"/>
      <c r="V3" s="50"/>
      <c r="W3" s="50"/>
      <c r="X3" s="50"/>
      <c r="Y3" s="50"/>
      <c r="Z3" s="50"/>
      <c r="AA3" s="50"/>
      <c r="AB3" s="53">
        <v>2015</v>
      </c>
      <c r="AC3" s="50"/>
      <c r="AD3" s="50"/>
      <c r="AE3" s="53">
        <v>2019</v>
      </c>
      <c r="AF3" s="50"/>
      <c r="AG3" s="50"/>
      <c r="AH3" s="54" t="s">
        <v>8</v>
      </c>
      <c r="AI3" s="50"/>
      <c r="AJ3" s="50"/>
    </row>
    <row r="4" spans="1:36">
      <c r="A4" s="51" t="s">
        <v>9</v>
      </c>
      <c r="B4" s="50"/>
      <c r="C4" s="50"/>
      <c r="D4" s="50"/>
      <c r="E4" s="50"/>
      <c r="F4" s="50"/>
      <c r="G4" s="50"/>
      <c r="H4" s="52">
        <v>35484</v>
      </c>
      <c r="I4" s="50"/>
      <c r="J4" s="52">
        <v>36355</v>
      </c>
      <c r="K4" s="50"/>
      <c r="L4" s="50"/>
      <c r="M4" s="50"/>
      <c r="N4" s="50"/>
      <c r="O4" s="49">
        <v>2.5</v>
      </c>
      <c r="P4" s="50"/>
      <c r="Q4" s="50"/>
      <c r="R4" s="50"/>
      <c r="S4" s="52">
        <v>320635163</v>
      </c>
      <c r="T4" s="50"/>
      <c r="U4" s="50"/>
      <c r="V4" s="50"/>
      <c r="W4" s="50"/>
      <c r="X4" s="52">
        <v>328239523</v>
      </c>
      <c r="Y4" s="50"/>
      <c r="Z4" s="50"/>
      <c r="AA4" s="50"/>
      <c r="AB4" s="49">
        <v>11.1</v>
      </c>
      <c r="AC4" s="50"/>
      <c r="AD4" s="50"/>
      <c r="AE4" s="49">
        <v>11.1</v>
      </c>
      <c r="AF4" s="50"/>
      <c r="AG4" s="50"/>
      <c r="AH4" s="49">
        <v>0.1</v>
      </c>
      <c r="AI4" s="50"/>
      <c r="AJ4" s="50"/>
    </row>
    <row r="5" spans="1:36">
      <c r="A5" s="51" t="s">
        <v>10</v>
      </c>
      <c r="B5" s="50"/>
      <c r="C5" s="50"/>
      <c r="D5" s="50"/>
      <c r="E5" s="50"/>
      <c r="F5" s="50"/>
      <c r="G5" s="50"/>
      <c r="H5" s="49" t="s">
        <v>11</v>
      </c>
      <c r="I5" s="50"/>
      <c r="J5" s="52">
        <v>1973</v>
      </c>
      <c r="K5" s="50"/>
      <c r="L5" s="50"/>
      <c r="M5" s="50"/>
      <c r="N5" s="50"/>
      <c r="O5" s="49" t="s">
        <v>11</v>
      </c>
      <c r="P5" s="50"/>
      <c r="Q5" s="50"/>
      <c r="R5" s="50"/>
      <c r="S5" s="52">
        <v>18006407</v>
      </c>
      <c r="T5" s="50"/>
      <c r="U5" s="50"/>
      <c r="V5" s="50"/>
      <c r="W5" s="50"/>
      <c r="X5" s="52">
        <v>18726548</v>
      </c>
      <c r="Y5" s="50"/>
      <c r="Z5" s="50"/>
      <c r="AA5" s="50"/>
      <c r="AB5" s="49" t="s">
        <v>11</v>
      </c>
      <c r="AC5" s="50"/>
      <c r="AD5" s="50"/>
      <c r="AE5" s="49">
        <v>10.5</v>
      </c>
      <c r="AF5" s="50"/>
      <c r="AG5" s="50"/>
      <c r="AH5" s="49" t="s">
        <v>11</v>
      </c>
      <c r="AI5" s="50"/>
      <c r="AJ5" s="50"/>
    </row>
    <row r="6" spans="1:36">
      <c r="A6" s="51" t="s">
        <v>12</v>
      </c>
      <c r="B6" s="50"/>
      <c r="C6" s="50"/>
      <c r="D6" s="50"/>
      <c r="E6" s="50"/>
      <c r="F6" s="50"/>
      <c r="G6" s="50"/>
      <c r="H6" s="52">
        <v>2938</v>
      </c>
      <c r="I6" s="50"/>
      <c r="J6" s="52">
        <v>2909</v>
      </c>
      <c r="K6" s="50"/>
      <c r="L6" s="50"/>
      <c r="M6" s="50"/>
      <c r="N6" s="50"/>
      <c r="O6" s="49" t="s">
        <v>13</v>
      </c>
      <c r="P6" s="50"/>
      <c r="Q6" s="50"/>
      <c r="R6" s="50"/>
      <c r="S6" s="52">
        <v>38005614</v>
      </c>
      <c r="T6" s="50"/>
      <c r="U6" s="50"/>
      <c r="V6" s="50"/>
      <c r="W6" s="50"/>
      <c r="X6" s="52">
        <v>37972812</v>
      </c>
      <c r="Y6" s="50"/>
      <c r="Z6" s="50"/>
      <c r="AA6" s="50"/>
      <c r="AB6" s="49">
        <v>7.7</v>
      </c>
      <c r="AC6" s="50"/>
      <c r="AD6" s="50"/>
      <c r="AE6" s="49">
        <v>7.7</v>
      </c>
      <c r="AF6" s="50"/>
      <c r="AG6" s="50"/>
      <c r="AH6" s="49" t="s">
        <v>14</v>
      </c>
      <c r="AI6" s="50"/>
      <c r="AJ6" s="50"/>
    </row>
    <row r="7" spans="1:36">
      <c r="A7" s="51" t="s">
        <v>15</v>
      </c>
      <c r="B7" s="50"/>
      <c r="C7" s="50"/>
      <c r="D7" s="50"/>
      <c r="E7" s="50"/>
      <c r="F7" s="50"/>
      <c r="G7" s="50"/>
      <c r="H7" s="49">
        <v>318</v>
      </c>
      <c r="I7" s="50"/>
      <c r="J7" s="49">
        <v>352</v>
      </c>
      <c r="K7" s="50"/>
      <c r="L7" s="50"/>
      <c r="M7" s="50"/>
      <c r="N7" s="50"/>
      <c r="O7" s="49">
        <v>10.7</v>
      </c>
      <c r="P7" s="50"/>
      <c r="Q7" s="50"/>
      <c r="R7" s="50"/>
      <c r="S7" s="52">
        <v>4596700</v>
      </c>
      <c r="T7" s="50"/>
      <c r="U7" s="50"/>
      <c r="V7" s="50"/>
      <c r="W7" s="50"/>
      <c r="X7" s="52">
        <v>4979200</v>
      </c>
      <c r="Y7" s="50"/>
      <c r="Z7" s="50"/>
      <c r="AA7" s="50"/>
      <c r="AB7" s="49">
        <v>6.9</v>
      </c>
      <c r="AC7" s="50"/>
      <c r="AD7" s="50"/>
      <c r="AE7" s="49">
        <v>7.1</v>
      </c>
      <c r="AF7" s="50"/>
      <c r="AG7" s="50"/>
      <c r="AH7" s="49">
        <v>2.2000000000000002</v>
      </c>
      <c r="AI7" s="50"/>
      <c r="AJ7" s="50"/>
    </row>
    <row r="8" spans="1:36">
      <c r="A8" s="51" t="s">
        <v>16</v>
      </c>
      <c r="B8" s="50"/>
      <c r="C8" s="50"/>
      <c r="D8" s="50"/>
      <c r="E8" s="50"/>
      <c r="F8" s="50"/>
      <c r="G8" s="50"/>
      <c r="H8" s="49">
        <v>239</v>
      </c>
      <c r="I8" s="50"/>
      <c r="J8" s="49">
        <v>186</v>
      </c>
      <c r="K8" s="50"/>
      <c r="L8" s="50"/>
      <c r="M8" s="50"/>
      <c r="N8" s="50"/>
      <c r="O8" s="49" t="s">
        <v>17</v>
      </c>
      <c r="P8" s="50"/>
      <c r="Q8" s="50"/>
      <c r="R8" s="50"/>
      <c r="S8" s="52">
        <v>2921262</v>
      </c>
      <c r="T8" s="50"/>
      <c r="U8" s="50"/>
      <c r="V8" s="50"/>
      <c r="W8" s="50"/>
      <c r="X8" s="52">
        <v>2794184</v>
      </c>
      <c r="Y8" s="50"/>
      <c r="Z8" s="50"/>
      <c r="AA8" s="50"/>
      <c r="AB8" s="49">
        <v>8.1999999999999993</v>
      </c>
      <c r="AC8" s="50"/>
      <c r="AD8" s="50"/>
      <c r="AE8" s="49">
        <v>6.7</v>
      </c>
      <c r="AF8" s="50"/>
      <c r="AG8" s="50"/>
      <c r="AH8" s="49" t="s">
        <v>18</v>
      </c>
      <c r="AI8" s="50"/>
      <c r="AJ8" s="50"/>
    </row>
    <row r="9" spans="1:36">
      <c r="A9" s="51" t="s">
        <v>19</v>
      </c>
      <c r="B9" s="50"/>
      <c r="C9" s="50"/>
      <c r="D9" s="50"/>
      <c r="E9" s="50"/>
      <c r="F9" s="50"/>
      <c r="G9" s="50"/>
      <c r="H9" s="52">
        <v>4621</v>
      </c>
      <c r="I9" s="50"/>
      <c r="J9" s="52">
        <v>3349</v>
      </c>
      <c r="K9" s="50"/>
      <c r="L9" s="50"/>
      <c r="M9" s="50"/>
      <c r="N9" s="50"/>
      <c r="O9" s="49" t="s">
        <v>20</v>
      </c>
      <c r="P9" s="50"/>
      <c r="Q9" s="50"/>
      <c r="R9" s="50"/>
      <c r="S9" s="52">
        <v>51014947</v>
      </c>
      <c r="T9" s="50"/>
      <c r="U9" s="50"/>
      <c r="V9" s="50"/>
      <c r="W9" s="50"/>
      <c r="X9" s="52">
        <v>51709098</v>
      </c>
      <c r="Y9" s="50"/>
      <c r="Z9" s="50"/>
      <c r="AA9" s="50"/>
      <c r="AB9" s="49">
        <v>9.1</v>
      </c>
      <c r="AC9" s="50"/>
      <c r="AD9" s="50"/>
      <c r="AE9" s="49">
        <v>6.5</v>
      </c>
      <c r="AF9" s="50"/>
      <c r="AG9" s="50"/>
      <c r="AH9" s="49" t="s">
        <v>21</v>
      </c>
      <c r="AI9" s="50"/>
      <c r="AJ9" s="50"/>
    </row>
    <row r="10" spans="1:36">
      <c r="A10" s="51" t="s">
        <v>22</v>
      </c>
      <c r="B10" s="50"/>
      <c r="C10" s="50"/>
      <c r="D10" s="50"/>
      <c r="E10" s="50"/>
      <c r="F10" s="50"/>
      <c r="G10" s="50"/>
      <c r="H10" s="49">
        <v>793</v>
      </c>
      <c r="I10" s="50"/>
      <c r="J10" s="49">
        <v>688</v>
      </c>
      <c r="K10" s="50"/>
      <c r="L10" s="50"/>
      <c r="M10" s="50"/>
      <c r="N10" s="50"/>
      <c r="O10" s="49" t="s">
        <v>23</v>
      </c>
      <c r="P10" s="50"/>
      <c r="Q10" s="50"/>
      <c r="R10" s="50"/>
      <c r="S10" s="52">
        <v>10858018</v>
      </c>
      <c r="T10" s="50"/>
      <c r="U10" s="50"/>
      <c r="V10" s="50"/>
      <c r="W10" s="50"/>
      <c r="X10" s="52">
        <v>10724599</v>
      </c>
      <c r="Y10" s="50"/>
      <c r="Z10" s="50"/>
      <c r="AA10" s="50"/>
      <c r="AB10" s="49">
        <v>7.3</v>
      </c>
      <c r="AC10" s="50"/>
      <c r="AD10" s="50"/>
      <c r="AE10" s="49">
        <v>6.4</v>
      </c>
      <c r="AF10" s="50"/>
      <c r="AG10" s="50"/>
      <c r="AH10" s="49" t="s">
        <v>24</v>
      </c>
      <c r="AI10" s="50"/>
      <c r="AJ10" s="50"/>
    </row>
    <row r="11" spans="1:36">
      <c r="A11" s="51" t="s">
        <v>25</v>
      </c>
      <c r="B11" s="50"/>
      <c r="C11" s="50"/>
      <c r="D11" s="50"/>
      <c r="E11" s="50"/>
      <c r="F11" s="50"/>
      <c r="G11" s="50"/>
      <c r="H11" s="49">
        <v>648</v>
      </c>
      <c r="I11" s="50"/>
      <c r="J11" s="49">
        <v>602</v>
      </c>
      <c r="K11" s="50"/>
      <c r="L11" s="50"/>
      <c r="M11" s="50"/>
      <c r="N11" s="50"/>
      <c r="O11" s="49" t="s">
        <v>26</v>
      </c>
      <c r="P11" s="50"/>
      <c r="Q11" s="50"/>
      <c r="R11" s="50"/>
      <c r="S11" s="52">
        <v>9855571</v>
      </c>
      <c r="T11" s="50"/>
      <c r="U11" s="50"/>
      <c r="V11" s="50"/>
      <c r="W11" s="50"/>
      <c r="X11" s="52">
        <v>9772756</v>
      </c>
      <c r="Y11" s="50"/>
      <c r="Z11" s="50"/>
      <c r="AA11" s="50"/>
      <c r="AB11" s="49">
        <v>6.6</v>
      </c>
      <c r="AC11" s="50"/>
      <c r="AD11" s="50"/>
      <c r="AE11" s="49">
        <v>6.2</v>
      </c>
      <c r="AF11" s="50"/>
      <c r="AG11" s="50"/>
      <c r="AH11" s="49" t="s">
        <v>27</v>
      </c>
      <c r="AI11" s="50"/>
      <c r="AJ11" s="50"/>
    </row>
    <row r="12" spans="1:36">
      <c r="A12" s="51" t="s">
        <v>28</v>
      </c>
      <c r="B12" s="50"/>
      <c r="C12" s="50"/>
      <c r="D12" s="50"/>
      <c r="E12" s="50"/>
      <c r="F12" s="50"/>
      <c r="G12" s="50"/>
      <c r="H12" s="49">
        <v>593</v>
      </c>
      <c r="I12" s="50"/>
      <c r="J12" s="49">
        <v>621</v>
      </c>
      <c r="K12" s="50"/>
      <c r="L12" s="50"/>
      <c r="M12" s="50"/>
      <c r="N12" s="50"/>
      <c r="O12" s="49">
        <v>4.7</v>
      </c>
      <c r="P12" s="50"/>
      <c r="Q12" s="50"/>
      <c r="R12" s="50"/>
      <c r="S12" s="52">
        <v>10374822</v>
      </c>
      <c r="T12" s="50"/>
      <c r="U12" s="50"/>
      <c r="V12" s="50"/>
      <c r="W12" s="50"/>
      <c r="X12" s="52">
        <v>10276617</v>
      </c>
      <c r="Y12" s="50"/>
      <c r="Z12" s="50"/>
      <c r="AA12" s="50"/>
      <c r="AB12" s="49">
        <v>5.7</v>
      </c>
      <c r="AC12" s="50"/>
      <c r="AD12" s="50"/>
      <c r="AE12" s="49">
        <v>6</v>
      </c>
      <c r="AF12" s="50"/>
      <c r="AG12" s="50"/>
      <c r="AH12" s="49">
        <v>5.7</v>
      </c>
      <c r="AI12" s="50"/>
      <c r="AJ12" s="50"/>
    </row>
    <row r="13" spans="1:36">
      <c r="A13" s="51" t="s">
        <v>29</v>
      </c>
      <c r="B13" s="50"/>
      <c r="C13" s="50"/>
      <c r="D13" s="50"/>
      <c r="E13" s="50"/>
      <c r="F13" s="50"/>
      <c r="G13" s="50"/>
      <c r="H13" s="49">
        <v>735</v>
      </c>
      <c r="I13" s="50"/>
      <c r="J13" s="49">
        <v>617</v>
      </c>
      <c r="K13" s="50"/>
      <c r="L13" s="50"/>
      <c r="M13" s="50"/>
      <c r="N13" s="50"/>
      <c r="O13" s="49" t="s">
        <v>30</v>
      </c>
      <c r="P13" s="50"/>
      <c r="Q13" s="50"/>
      <c r="R13" s="50"/>
      <c r="S13" s="52">
        <v>10538275</v>
      </c>
      <c r="T13" s="50"/>
      <c r="U13" s="50"/>
      <c r="V13" s="50"/>
      <c r="W13" s="50"/>
      <c r="X13" s="52">
        <v>10649800</v>
      </c>
      <c r="Y13" s="50"/>
      <c r="Z13" s="50"/>
      <c r="AA13" s="50"/>
      <c r="AB13" s="49">
        <v>7</v>
      </c>
      <c r="AC13" s="50"/>
      <c r="AD13" s="50"/>
      <c r="AE13" s="49">
        <v>5.8</v>
      </c>
      <c r="AF13" s="50"/>
      <c r="AG13" s="50"/>
      <c r="AH13" s="49" t="s">
        <v>31</v>
      </c>
      <c r="AI13" s="50"/>
      <c r="AJ13" s="50"/>
    </row>
    <row r="14" spans="1:36">
      <c r="A14" s="51" t="s">
        <v>32</v>
      </c>
      <c r="B14" s="50"/>
      <c r="C14" s="50"/>
      <c r="D14" s="50"/>
      <c r="E14" s="50"/>
      <c r="F14" s="50"/>
      <c r="G14" s="50"/>
      <c r="H14" s="49">
        <v>762</v>
      </c>
      <c r="I14" s="50"/>
      <c r="J14" s="49">
        <v>644</v>
      </c>
      <c r="K14" s="50"/>
      <c r="L14" s="50"/>
      <c r="M14" s="50"/>
      <c r="N14" s="50"/>
      <c r="O14" s="49" t="s">
        <v>33</v>
      </c>
      <c r="P14" s="50"/>
      <c r="Q14" s="50"/>
      <c r="R14" s="50"/>
      <c r="S14" s="52">
        <v>11237274</v>
      </c>
      <c r="T14" s="50"/>
      <c r="U14" s="50"/>
      <c r="V14" s="50"/>
      <c r="W14" s="50"/>
      <c r="X14" s="52">
        <v>11455519</v>
      </c>
      <c r="Y14" s="50"/>
      <c r="Z14" s="50"/>
      <c r="AA14" s="50"/>
      <c r="AB14" s="49">
        <v>6.8</v>
      </c>
      <c r="AC14" s="50"/>
      <c r="AD14" s="50"/>
      <c r="AE14" s="49">
        <v>5.6</v>
      </c>
      <c r="AF14" s="50"/>
      <c r="AG14" s="50"/>
      <c r="AH14" s="49" t="s">
        <v>34</v>
      </c>
      <c r="AI14" s="50"/>
      <c r="AJ14" s="50"/>
    </row>
    <row r="15" spans="1:36">
      <c r="A15" s="51" t="s">
        <v>35</v>
      </c>
      <c r="B15" s="50"/>
      <c r="C15" s="50"/>
      <c r="D15" s="50"/>
      <c r="E15" s="50"/>
      <c r="F15" s="50"/>
      <c r="G15" s="50"/>
      <c r="H15" s="52">
        <v>3428</v>
      </c>
      <c r="I15" s="50"/>
      <c r="J15" s="52">
        <v>3173</v>
      </c>
      <c r="K15" s="50"/>
      <c r="L15" s="50"/>
      <c r="M15" s="50"/>
      <c r="N15" s="50"/>
      <c r="O15" s="49" t="s">
        <v>36</v>
      </c>
      <c r="P15" s="50"/>
      <c r="Q15" s="50"/>
      <c r="R15" s="50"/>
      <c r="S15" s="52">
        <v>60795612</v>
      </c>
      <c r="T15" s="50"/>
      <c r="U15" s="50"/>
      <c r="V15" s="50"/>
      <c r="W15" s="50"/>
      <c r="X15" s="52">
        <v>60359546</v>
      </c>
      <c r="Y15" s="50"/>
      <c r="Z15" s="50"/>
      <c r="AA15" s="50"/>
      <c r="AB15" s="49">
        <v>5.6</v>
      </c>
      <c r="AC15" s="50"/>
      <c r="AD15" s="50"/>
      <c r="AE15" s="49">
        <v>5.3</v>
      </c>
      <c r="AF15" s="50"/>
      <c r="AG15" s="50"/>
      <c r="AH15" s="49" t="s">
        <v>37</v>
      </c>
      <c r="AI15" s="50"/>
      <c r="AJ15" s="50"/>
    </row>
    <row r="16" spans="1:36">
      <c r="A16" s="51" t="s">
        <v>38</v>
      </c>
      <c r="B16" s="50"/>
      <c r="C16" s="50"/>
      <c r="D16" s="50"/>
      <c r="E16" s="50"/>
      <c r="F16" s="50"/>
      <c r="G16" s="50"/>
      <c r="H16" s="52">
        <v>3461</v>
      </c>
      <c r="I16" s="50"/>
      <c r="J16" s="52">
        <v>3244</v>
      </c>
      <c r="K16" s="50"/>
      <c r="L16" s="50"/>
      <c r="M16" s="50"/>
      <c r="N16" s="50"/>
      <c r="O16" s="49" t="s">
        <v>27</v>
      </c>
      <c r="P16" s="50"/>
      <c r="Q16" s="50"/>
      <c r="R16" s="50"/>
      <c r="S16" s="52">
        <v>64300821</v>
      </c>
      <c r="T16" s="50"/>
      <c r="U16" s="50"/>
      <c r="V16" s="50"/>
      <c r="W16" s="50"/>
      <c r="X16" s="52">
        <v>64812052</v>
      </c>
      <c r="Y16" s="50"/>
      <c r="Z16" s="50"/>
      <c r="AA16" s="50"/>
      <c r="AB16" s="49">
        <v>5.4</v>
      </c>
      <c r="AC16" s="50"/>
      <c r="AD16" s="50"/>
      <c r="AE16" s="49">
        <v>5</v>
      </c>
      <c r="AF16" s="50"/>
      <c r="AG16" s="50"/>
      <c r="AH16" s="49" t="s">
        <v>39</v>
      </c>
      <c r="AI16" s="50"/>
      <c r="AJ16" s="50"/>
    </row>
    <row r="17" spans="1:36">
      <c r="A17" s="51" t="s">
        <v>40</v>
      </c>
      <c r="B17" s="50"/>
      <c r="C17" s="50"/>
      <c r="D17" s="50"/>
      <c r="E17" s="50"/>
      <c r="F17" s="50"/>
      <c r="G17" s="50"/>
      <c r="H17" s="49">
        <v>120</v>
      </c>
      <c r="I17" s="50"/>
      <c r="J17" s="49">
        <v>102</v>
      </c>
      <c r="K17" s="50"/>
      <c r="L17" s="50"/>
      <c r="M17" s="50"/>
      <c r="N17" s="50"/>
      <c r="O17" s="49" t="s">
        <v>41</v>
      </c>
      <c r="P17" s="50"/>
      <c r="Q17" s="50"/>
      <c r="R17" s="50"/>
      <c r="S17" s="52">
        <v>2062874</v>
      </c>
      <c r="T17" s="50"/>
      <c r="U17" s="50"/>
      <c r="V17" s="50"/>
      <c r="W17" s="50"/>
      <c r="X17" s="52">
        <v>2080908</v>
      </c>
      <c r="Y17" s="50"/>
      <c r="Z17" s="50"/>
      <c r="AA17" s="50"/>
      <c r="AB17" s="49">
        <v>5.8</v>
      </c>
      <c r="AC17" s="50"/>
      <c r="AD17" s="50"/>
      <c r="AE17" s="49">
        <v>4.9000000000000004</v>
      </c>
      <c r="AF17" s="50"/>
      <c r="AG17" s="50"/>
      <c r="AH17" s="49" t="s">
        <v>42</v>
      </c>
      <c r="AI17" s="50"/>
      <c r="AJ17" s="50"/>
    </row>
    <row r="18" spans="1:36">
      <c r="A18" s="51" t="s">
        <v>43</v>
      </c>
      <c r="B18" s="50"/>
      <c r="C18" s="50"/>
      <c r="D18" s="50"/>
      <c r="E18" s="50"/>
      <c r="F18" s="50"/>
      <c r="G18" s="50"/>
      <c r="H18" s="49">
        <v>479</v>
      </c>
      <c r="I18" s="50"/>
      <c r="J18" s="49">
        <v>416</v>
      </c>
      <c r="K18" s="50"/>
      <c r="L18" s="50"/>
      <c r="M18" s="50"/>
      <c r="N18" s="50"/>
      <c r="O18" s="49" t="s">
        <v>23</v>
      </c>
      <c r="P18" s="50"/>
      <c r="Q18" s="50"/>
      <c r="R18" s="50"/>
      <c r="S18" s="52">
        <v>8584926</v>
      </c>
      <c r="T18" s="50"/>
      <c r="U18" s="50"/>
      <c r="V18" s="50"/>
      <c r="W18" s="50"/>
      <c r="X18" s="52">
        <v>8858775</v>
      </c>
      <c r="Y18" s="50"/>
      <c r="Z18" s="50"/>
      <c r="AA18" s="50"/>
      <c r="AB18" s="49">
        <v>5.6</v>
      </c>
      <c r="AC18" s="50"/>
      <c r="AD18" s="50"/>
      <c r="AE18" s="49">
        <v>4.7</v>
      </c>
      <c r="AF18" s="50"/>
      <c r="AG18" s="50"/>
      <c r="AH18" s="49" t="s">
        <v>44</v>
      </c>
      <c r="AI18" s="50"/>
      <c r="AJ18" s="50"/>
    </row>
    <row r="19" spans="1:36">
      <c r="A19" s="51" t="s">
        <v>45</v>
      </c>
      <c r="B19" s="50"/>
      <c r="C19" s="50"/>
      <c r="D19" s="50"/>
      <c r="E19" s="50"/>
      <c r="F19" s="50"/>
      <c r="G19" s="50"/>
      <c r="H19" s="52">
        <v>1887</v>
      </c>
      <c r="I19" s="50"/>
      <c r="J19" s="52">
        <v>1762</v>
      </c>
      <c r="K19" s="50"/>
      <c r="L19" s="50"/>
      <c r="M19" s="50"/>
      <c r="N19" s="50"/>
      <c r="O19" s="49" t="s">
        <v>46</v>
      </c>
      <c r="P19" s="50"/>
      <c r="Q19" s="50"/>
      <c r="R19" s="50"/>
      <c r="S19" s="52">
        <v>35826748</v>
      </c>
      <c r="T19" s="50"/>
      <c r="U19" s="50"/>
      <c r="V19" s="50"/>
      <c r="W19" s="50"/>
      <c r="X19" s="52">
        <v>37593384</v>
      </c>
      <c r="Y19" s="50"/>
      <c r="Z19" s="50"/>
      <c r="AA19" s="50"/>
      <c r="AB19" s="49">
        <v>5.3</v>
      </c>
      <c r="AC19" s="50"/>
      <c r="AD19" s="50"/>
      <c r="AE19" s="49">
        <v>4.7</v>
      </c>
      <c r="AF19" s="50"/>
      <c r="AG19" s="50"/>
      <c r="AH19" s="49" t="s">
        <v>47</v>
      </c>
      <c r="AI19" s="50"/>
      <c r="AJ19" s="50"/>
    </row>
    <row r="20" spans="1:36">
      <c r="A20" s="51" t="s">
        <v>48</v>
      </c>
      <c r="B20" s="50"/>
      <c r="C20" s="50"/>
      <c r="D20" s="50"/>
      <c r="E20" s="50"/>
      <c r="F20" s="50"/>
      <c r="G20" s="50"/>
      <c r="H20" s="52">
        <v>1205</v>
      </c>
      <c r="I20" s="50"/>
      <c r="J20" s="52">
        <v>1187</v>
      </c>
      <c r="K20" s="50"/>
      <c r="L20" s="50"/>
      <c r="M20" s="50"/>
      <c r="N20" s="50"/>
      <c r="O20" s="49" t="s">
        <v>49</v>
      </c>
      <c r="P20" s="50"/>
      <c r="Q20" s="50"/>
      <c r="R20" s="50"/>
      <c r="S20" s="52">
        <v>23815995</v>
      </c>
      <c r="T20" s="50"/>
      <c r="U20" s="50"/>
      <c r="V20" s="50"/>
      <c r="W20" s="50"/>
      <c r="X20" s="52">
        <v>25365571</v>
      </c>
      <c r="Y20" s="50"/>
      <c r="Z20" s="50"/>
      <c r="AA20" s="50"/>
      <c r="AB20" s="49">
        <v>5.0999999999999996</v>
      </c>
      <c r="AC20" s="50"/>
      <c r="AD20" s="50"/>
      <c r="AE20" s="49">
        <v>4.7</v>
      </c>
      <c r="AF20" s="50"/>
      <c r="AG20" s="50"/>
      <c r="AH20" s="49" t="s">
        <v>50</v>
      </c>
      <c r="AI20" s="50"/>
      <c r="AJ20" s="50"/>
    </row>
    <row r="21" spans="1:36">
      <c r="A21" s="51" t="s">
        <v>51</v>
      </c>
      <c r="B21" s="50"/>
      <c r="C21" s="50"/>
      <c r="D21" s="50"/>
      <c r="E21" s="50"/>
      <c r="F21" s="50"/>
      <c r="G21" s="50"/>
      <c r="H21" s="49">
        <v>356</v>
      </c>
      <c r="I21" s="50"/>
      <c r="J21" s="49">
        <v>355</v>
      </c>
      <c r="K21" s="50"/>
      <c r="L21" s="50"/>
      <c r="M21" s="50"/>
      <c r="N21" s="50"/>
      <c r="O21" s="49" t="s">
        <v>52</v>
      </c>
      <c r="P21" s="50"/>
      <c r="Q21" s="50"/>
      <c r="R21" s="50"/>
      <c r="S21" s="52">
        <v>8463400</v>
      </c>
      <c r="T21" s="50"/>
      <c r="U21" s="50"/>
      <c r="V21" s="50"/>
      <c r="W21" s="50"/>
      <c r="X21" s="52">
        <v>9054100</v>
      </c>
      <c r="Y21" s="50"/>
      <c r="Z21" s="50"/>
      <c r="AA21" s="50"/>
      <c r="AB21" s="49">
        <v>4.2</v>
      </c>
      <c r="AC21" s="50"/>
      <c r="AD21" s="50"/>
      <c r="AE21" s="49">
        <v>3.9</v>
      </c>
      <c r="AF21" s="50"/>
      <c r="AG21" s="50"/>
      <c r="AH21" s="49" t="s">
        <v>37</v>
      </c>
      <c r="AI21" s="50"/>
      <c r="AJ21" s="50"/>
    </row>
    <row r="22" spans="1:36">
      <c r="A22" s="51" t="s">
        <v>53</v>
      </c>
      <c r="B22" s="50"/>
      <c r="C22" s="50"/>
      <c r="D22" s="50"/>
      <c r="E22" s="50"/>
      <c r="F22" s="50"/>
      <c r="G22" s="50"/>
      <c r="H22" s="49">
        <v>621</v>
      </c>
      <c r="I22" s="50"/>
      <c r="J22" s="49">
        <v>661</v>
      </c>
      <c r="K22" s="50"/>
      <c r="L22" s="50"/>
      <c r="M22" s="50"/>
      <c r="N22" s="50"/>
      <c r="O22" s="49">
        <v>6.4</v>
      </c>
      <c r="P22" s="50"/>
      <c r="Q22" s="50"/>
      <c r="R22" s="50"/>
      <c r="S22" s="52">
        <v>16900726</v>
      </c>
      <c r="T22" s="50"/>
      <c r="U22" s="50"/>
      <c r="V22" s="50"/>
      <c r="W22" s="50"/>
      <c r="X22" s="52">
        <v>17282163</v>
      </c>
      <c r="Y22" s="50"/>
      <c r="Z22" s="50"/>
      <c r="AA22" s="50"/>
      <c r="AB22" s="49">
        <v>3.7</v>
      </c>
      <c r="AC22" s="50"/>
      <c r="AD22" s="50"/>
      <c r="AE22" s="49">
        <v>3.8</v>
      </c>
      <c r="AF22" s="50"/>
      <c r="AG22" s="50"/>
      <c r="AH22" s="49">
        <v>4.0999999999999996</v>
      </c>
      <c r="AI22" s="50"/>
      <c r="AJ22" s="50"/>
    </row>
    <row r="23" spans="1:36">
      <c r="A23" s="51" t="s">
        <v>54</v>
      </c>
      <c r="B23" s="50"/>
      <c r="C23" s="50"/>
      <c r="D23" s="50"/>
      <c r="E23" s="50"/>
      <c r="F23" s="50"/>
      <c r="G23" s="50"/>
      <c r="H23" s="49">
        <v>270</v>
      </c>
      <c r="I23" s="50"/>
      <c r="J23" s="49">
        <v>211</v>
      </c>
      <c r="K23" s="50"/>
      <c r="L23" s="50"/>
      <c r="M23" s="50"/>
      <c r="N23" s="50"/>
      <c r="O23" s="49" t="s">
        <v>55</v>
      </c>
      <c r="P23" s="50"/>
      <c r="Q23" s="50"/>
      <c r="R23" s="50"/>
      <c r="S23" s="52">
        <v>5471753</v>
      </c>
      <c r="T23" s="50"/>
      <c r="U23" s="50"/>
      <c r="V23" s="50"/>
      <c r="W23" s="50"/>
      <c r="X23" s="52">
        <v>5517919</v>
      </c>
      <c r="Y23" s="50"/>
      <c r="Z23" s="50"/>
      <c r="AA23" s="50"/>
      <c r="AB23" s="49">
        <v>4.9000000000000004</v>
      </c>
      <c r="AC23" s="50"/>
      <c r="AD23" s="50"/>
      <c r="AE23" s="49">
        <v>3.8</v>
      </c>
      <c r="AF23" s="50"/>
      <c r="AG23" s="50"/>
      <c r="AH23" s="49" t="s">
        <v>56</v>
      </c>
      <c r="AI23" s="50"/>
      <c r="AJ23" s="50"/>
    </row>
    <row r="24" spans="1:36">
      <c r="A24" s="51" t="s">
        <v>57</v>
      </c>
      <c r="B24" s="50"/>
      <c r="C24" s="50"/>
      <c r="D24" s="50"/>
      <c r="E24" s="50"/>
      <c r="F24" s="50"/>
      <c r="G24" s="50"/>
      <c r="H24" s="52">
        <v>1689</v>
      </c>
      <c r="I24" s="50"/>
      <c r="J24" s="52">
        <v>1755</v>
      </c>
      <c r="K24" s="50"/>
      <c r="L24" s="50"/>
      <c r="M24" s="50"/>
      <c r="N24" s="50"/>
      <c r="O24" s="49">
        <v>3.9</v>
      </c>
      <c r="P24" s="50"/>
      <c r="Q24" s="50"/>
      <c r="R24" s="50"/>
      <c r="S24" s="52">
        <v>46449565</v>
      </c>
      <c r="T24" s="50"/>
      <c r="U24" s="50"/>
      <c r="V24" s="50"/>
      <c r="W24" s="50"/>
      <c r="X24" s="52">
        <v>46937060</v>
      </c>
      <c r="Y24" s="50"/>
      <c r="Z24" s="50"/>
      <c r="AA24" s="50"/>
      <c r="AB24" s="49">
        <v>3.6</v>
      </c>
      <c r="AC24" s="50"/>
      <c r="AD24" s="50"/>
      <c r="AE24" s="49">
        <v>3.7</v>
      </c>
      <c r="AF24" s="50"/>
      <c r="AG24" s="50"/>
      <c r="AH24" s="49">
        <v>2.8</v>
      </c>
      <c r="AI24" s="50"/>
      <c r="AJ24" s="50"/>
    </row>
    <row r="25" spans="1:36">
      <c r="A25" s="51" t="s">
        <v>58</v>
      </c>
      <c r="B25" s="50"/>
      <c r="C25" s="50"/>
      <c r="D25" s="50"/>
      <c r="E25" s="50"/>
      <c r="F25" s="50"/>
      <c r="G25" s="50"/>
      <c r="H25" s="52">
        <v>3459</v>
      </c>
      <c r="I25" s="50"/>
      <c r="J25" s="52">
        <v>3046</v>
      </c>
      <c r="K25" s="50"/>
      <c r="L25" s="50"/>
      <c r="M25" s="50"/>
      <c r="N25" s="50"/>
      <c r="O25" s="49" t="s">
        <v>59</v>
      </c>
      <c r="P25" s="50"/>
      <c r="Q25" s="50"/>
      <c r="R25" s="50"/>
      <c r="S25" s="52">
        <v>81197537</v>
      </c>
      <c r="T25" s="50"/>
      <c r="U25" s="50"/>
      <c r="V25" s="50"/>
      <c r="W25" s="50"/>
      <c r="X25" s="52">
        <v>83019213</v>
      </c>
      <c r="Y25" s="50"/>
      <c r="Z25" s="50"/>
      <c r="AA25" s="50"/>
      <c r="AB25" s="49">
        <v>4.3</v>
      </c>
      <c r="AC25" s="50"/>
      <c r="AD25" s="50"/>
      <c r="AE25" s="49">
        <v>3.7</v>
      </c>
      <c r="AF25" s="50"/>
      <c r="AG25" s="50"/>
      <c r="AH25" s="49" t="s">
        <v>60</v>
      </c>
      <c r="AI25" s="50"/>
      <c r="AJ25" s="50"/>
    </row>
    <row r="26" spans="1:36">
      <c r="A26" s="51" t="s">
        <v>61</v>
      </c>
      <c r="B26" s="50"/>
      <c r="C26" s="50"/>
      <c r="D26" s="50"/>
      <c r="E26" s="50"/>
      <c r="F26" s="50"/>
      <c r="G26" s="50"/>
      <c r="H26" s="49">
        <v>178</v>
      </c>
      <c r="I26" s="50"/>
      <c r="J26" s="49">
        <v>199</v>
      </c>
      <c r="K26" s="50"/>
      <c r="L26" s="50"/>
      <c r="M26" s="50"/>
      <c r="N26" s="50"/>
      <c r="O26" s="49">
        <v>11.8</v>
      </c>
      <c r="P26" s="50"/>
      <c r="Q26" s="50"/>
      <c r="R26" s="50"/>
      <c r="S26" s="52">
        <v>5659715</v>
      </c>
      <c r="T26" s="50"/>
      <c r="U26" s="50"/>
      <c r="V26" s="50"/>
      <c r="W26" s="50"/>
      <c r="X26" s="52">
        <v>5806081</v>
      </c>
      <c r="Y26" s="50"/>
      <c r="Z26" s="50"/>
      <c r="AA26" s="50"/>
      <c r="AB26" s="49">
        <v>3.1</v>
      </c>
      <c r="AC26" s="50"/>
      <c r="AD26" s="50"/>
      <c r="AE26" s="49">
        <v>3.4</v>
      </c>
      <c r="AF26" s="50"/>
      <c r="AG26" s="50"/>
      <c r="AH26" s="49">
        <v>9</v>
      </c>
      <c r="AI26" s="50"/>
      <c r="AJ26" s="50"/>
    </row>
    <row r="27" spans="1:36">
      <c r="A27" s="51" t="s">
        <v>62</v>
      </c>
      <c r="B27" s="50"/>
      <c r="C27" s="50"/>
      <c r="D27" s="50"/>
      <c r="E27" s="50"/>
      <c r="F27" s="50"/>
      <c r="G27" s="50"/>
      <c r="H27" s="52">
        <v>4885</v>
      </c>
      <c r="I27" s="50"/>
      <c r="J27" s="52">
        <v>3920</v>
      </c>
      <c r="K27" s="50"/>
      <c r="L27" s="50"/>
      <c r="M27" s="50"/>
      <c r="N27" s="50"/>
      <c r="O27" s="49" t="s">
        <v>63</v>
      </c>
      <c r="P27" s="50"/>
      <c r="Q27" s="50"/>
      <c r="R27" s="50"/>
      <c r="S27" s="52">
        <v>127095000</v>
      </c>
      <c r="T27" s="50"/>
      <c r="U27" s="50"/>
      <c r="V27" s="50"/>
      <c r="W27" s="50"/>
      <c r="X27" s="52">
        <v>126167000</v>
      </c>
      <c r="Y27" s="50"/>
      <c r="Z27" s="50"/>
      <c r="AA27" s="50"/>
      <c r="AB27" s="49">
        <v>3.8</v>
      </c>
      <c r="AC27" s="50"/>
      <c r="AD27" s="50"/>
      <c r="AE27" s="49">
        <v>3.1</v>
      </c>
      <c r="AF27" s="50"/>
      <c r="AG27" s="50"/>
      <c r="AH27" s="49" t="s">
        <v>64</v>
      </c>
      <c r="AI27" s="50"/>
      <c r="AJ27" s="50"/>
    </row>
    <row r="28" spans="1:36">
      <c r="A28" s="51" t="s">
        <v>65</v>
      </c>
      <c r="B28" s="50"/>
      <c r="C28" s="50"/>
      <c r="D28" s="50"/>
      <c r="E28" s="50"/>
      <c r="F28" s="50"/>
      <c r="G28" s="50"/>
      <c r="H28" s="49">
        <v>162</v>
      </c>
      <c r="I28" s="50"/>
      <c r="J28" s="49">
        <v>140</v>
      </c>
      <c r="K28" s="50"/>
      <c r="L28" s="50"/>
      <c r="M28" s="50"/>
      <c r="N28" s="50"/>
      <c r="O28" s="49" t="s">
        <v>66</v>
      </c>
      <c r="P28" s="50"/>
      <c r="Q28" s="50"/>
      <c r="R28" s="50"/>
      <c r="S28" s="52">
        <v>4677627</v>
      </c>
      <c r="T28" s="50"/>
      <c r="U28" s="50"/>
      <c r="V28" s="50"/>
      <c r="W28" s="50"/>
      <c r="X28" s="52">
        <v>4904240</v>
      </c>
      <c r="Y28" s="50"/>
      <c r="Z28" s="50"/>
      <c r="AA28" s="50"/>
      <c r="AB28" s="49">
        <v>3.5</v>
      </c>
      <c r="AC28" s="50"/>
      <c r="AD28" s="50"/>
      <c r="AE28" s="49">
        <v>2.9</v>
      </c>
      <c r="AF28" s="50"/>
      <c r="AG28" s="50"/>
      <c r="AH28" s="49" t="s">
        <v>67</v>
      </c>
      <c r="AI28" s="50"/>
      <c r="AJ28" s="50"/>
    </row>
    <row r="29" spans="1:36">
      <c r="A29" s="51" t="s">
        <v>68</v>
      </c>
      <c r="B29" s="50"/>
      <c r="C29" s="50"/>
      <c r="D29" s="50"/>
      <c r="E29" s="50"/>
      <c r="F29" s="50"/>
      <c r="G29" s="50"/>
      <c r="H29" s="52">
        <v>1804</v>
      </c>
      <c r="I29" s="50"/>
      <c r="J29" s="52">
        <v>1808</v>
      </c>
      <c r="K29" s="50"/>
      <c r="L29" s="50"/>
      <c r="M29" s="50"/>
      <c r="N29" s="50"/>
      <c r="O29" s="49">
        <v>0.2</v>
      </c>
      <c r="P29" s="50"/>
      <c r="Q29" s="50"/>
      <c r="R29" s="50"/>
      <c r="S29" s="52">
        <v>65110034</v>
      </c>
      <c r="T29" s="50"/>
      <c r="U29" s="50"/>
      <c r="V29" s="50"/>
      <c r="W29" s="50"/>
      <c r="X29" s="52">
        <v>66796807</v>
      </c>
      <c r="Y29" s="50"/>
      <c r="Z29" s="50"/>
      <c r="AA29" s="50"/>
      <c r="AB29" s="49">
        <v>2.8</v>
      </c>
      <c r="AC29" s="50"/>
      <c r="AD29" s="50"/>
      <c r="AE29" s="49">
        <v>2.7</v>
      </c>
      <c r="AF29" s="50"/>
      <c r="AG29" s="50"/>
      <c r="AH29" s="49" t="s">
        <v>69</v>
      </c>
      <c r="AI29" s="50"/>
      <c r="AJ29" s="50"/>
    </row>
    <row r="30" spans="1:36">
      <c r="A30" s="51" t="s">
        <v>70</v>
      </c>
      <c r="B30" s="50"/>
      <c r="C30" s="50"/>
      <c r="D30" s="50"/>
      <c r="E30" s="50"/>
      <c r="F30" s="50"/>
      <c r="G30" s="50"/>
      <c r="H30" s="49">
        <v>253</v>
      </c>
      <c r="I30" s="50"/>
      <c r="J30" s="49">
        <v>187</v>
      </c>
      <c r="K30" s="50"/>
      <c r="L30" s="50"/>
      <c r="M30" s="50"/>
      <c r="N30" s="50"/>
      <c r="O30" s="49" t="s">
        <v>71</v>
      </c>
      <c r="P30" s="50"/>
      <c r="Q30" s="50"/>
      <c r="R30" s="50"/>
      <c r="S30" s="52">
        <v>8237666</v>
      </c>
      <c r="T30" s="50"/>
      <c r="U30" s="50"/>
      <c r="V30" s="50"/>
      <c r="W30" s="50"/>
      <c r="X30" s="52">
        <v>8544527</v>
      </c>
      <c r="Y30" s="50"/>
      <c r="Z30" s="50"/>
      <c r="AA30" s="50"/>
      <c r="AB30" s="49">
        <v>3.1</v>
      </c>
      <c r="AC30" s="50"/>
      <c r="AD30" s="50"/>
      <c r="AE30" s="49">
        <v>2.2000000000000002</v>
      </c>
      <c r="AF30" s="50"/>
      <c r="AG30" s="50"/>
      <c r="AH30" s="49" t="s">
        <v>72</v>
      </c>
      <c r="AI30" s="50"/>
      <c r="AJ30" s="50"/>
    </row>
    <row r="31" spans="1:36">
      <c r="A31" s="51" t="s">
        <v>73</v>
      </c>
      <c r="B31" s="50"/>
      <c r="C31" s="50"/>
      <c r="D31" s="50"/>
      <c r="E31" s="50"/>
      <c r="F31" s="50"/>
      <c r="G31" s="50"/>
      <c r="H31" s="49">
        <v>259</v>
      </c>
      <c r="I31" s="50"/>
      <c r="J31" s="49">
        <v>221</v>
      </c>
      <c r="K31" s="50"/>
      <c r="L31" s="50"/>
      <c r="M31" s="50"/>
      <c r="N31" s="50"/>
      <c r="O31" s="49" t="s">
        <v>74</v>
      </c>
      <c r="P31" s="50"/>
      <c r="Q31" s="50"/>
      <c r="R31" s="50"/>
      <c r="S31" s="52">
        <v>9747355</v>
      </c>
      <c r="T31" s="50"/>
      <c r="U31" s="50"/>
      <c r="V31" s="50"/>
      <c r="W31" s="50"/>
      <c r="X31" s="52">
        <v>10230185</v>
      </c>
      <c r="Y31" s="50"/>
      <c r="Z31" s="50"/>
      <c r="AA31" s="50"/>
      <c r="AB31" s="49">
        <v>2.7</v>
      </c>
      <c r="AC31" s="50"/>
      <c r="AD31" s="50"/>
      <c r="AE31" s="49">
        <v>2.2000000000000002</v>
      </c>
      <c r="AF31" s="50"/>
      <c r="AG31" s="50"/>
      <c r="AH31" s="49" t="s">
        <v>75</v>
      </c>
      <c r="AI31" s="50"/>
      <c r="AJ31" s="50"/>
    </row>
    <row r="32" spans="1:36">
      <c r="A32" s="51" t="s">
        <v>76</v>
      </c>
      <c r="B32" s="50"/>
      <c r="C32" s="50"/>
      <c r="D32" s="50"/>
      <c r="E32" s="50"/>
      <c r="F32" s="50"/>
      <c r="G32" s="50"/>
      <c r="H32" s="49">
        <v>117</v>
      </c>
      <c r="I32" s="50"/>
      <c r="J32" s="49">
        <v>108</v>
      </c>
      <c r="K32" s="50"/>
      <c r="L32" s="50"/>
      <c r="M32" s="50"/>
      <c r="N32" s="50"/>
      <c r="O32" s="49" t="s">
        <v>77</v>
      </c>
      <c r="P32" s="50"/>
      <c r="Q32" s="50"/>
      <c r="R32" s="50"/>
      <c r="S32" s="52">
        <v>5165802</v>
      </c>
      <c r="T32" s="50"/>
      <c r="U32" s="50"/>
      <c r="V32" s="50"/>
      <c r="W32" s="50"/>
      <c r="X32" s="52">
        <v>5328212</v>
      </c>
      <c r="Y32" s="50"/>
      <c r="Z32" s="50"/>
      <c r="AA32" s="50"/>
      <c r="AB32" s="49">
        <v>2.2999999999999998</v>
      </c>
      <c r="AC32" s="50"/>
      <c r="AD32" s="50"/>
      <c r="AE32" s="49">
        <v>2</v>
      </c>
      <c r="AF32" s="50"/>
      <c r="AG32" s="50"/>
      <c r="AH32" s="49" t="s">
        <v>78</v>
      </c>
      <c r="AI32" s="50"/>
      <c r="AJ32" s="50"/>
    </row>
    <row r="33" spans="1:36">
      <c r="A33" s="58" t="s">
        <v>79</v>
      </c>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row>
    <row r="34" spans="1:36">
      <c r="A34" s="51" t="s">
        <v>80</v>
      </c>
      <c r="B34" s="50"/>
      <c r="C34" s="50"/>
      <c r="D34" s="50"/>
      <c r="E34" s="50"/>
      <c r="F34" s="50"/>
      <c r="G34" s="50"/>
      <c r="H34" s="52">
        <v>2563</v>
      </c>
      <c r="I34" s="50"/>
      <c r="J34" s="52">
        <v>2441</v>
      </c>
      <c r="K34" s="50"/>
      <c r="L34" s="50"/>
      <c r="M34" s="50"/>
      <c r="N34" s="50"/>
      <c r="O34" s="49" t="s">
        <v>81</v>
      </c>
      <c r="P34" s="50"/>
      <c r="Q34" s="50"/>
      <c r="R34" s="50"/>
      <c r="S34" s="52">
        <v>36814042</v>
      </c>
      <c r="T34" s="50"/>
      <c r="U34" s="50"/>
      <c r="V34" s="50"/>
      <c r="W34" s="50"/>
      <c r="X34" s="52">
        <v>37446841</v>
      </c>
      <c r="Y34" s="50"/>
      <c r="Z34" s="50"/>
      <c r="AA34" s="50"/>
      <c r="AB34" s="49">
        <v>5.4</v>
      </c>
      <c r="AC34" s="50"/>
      <c r="AD34" s="50"/>
      <c r="AE34" s="49">
        <v>5</v>
      </c>
      <c r="AF34" s="50"/>
      <c r="AG34" s="50"/>
      <c r="AH34" s="49" t="s">
        <v>82</v>
      </c>
      <c r="AI34" s="50"/>
      <c r="AJ34" s="50"/>
    </row>
    <row r="35" spans="1:36">
      <c r="A35" s="51" t="s">
        <v>83</v>
      </c>
      <c r="B35" s="50"/>
      <c r="C35" s="50"/>
      <c r="D35" s="50"/>
      <c r="E35" s="50"/>
      <c r="F35" s="50"/>
      <c r="G35" s="50"/>
      <c r="H35" s="49">
        <v>692</v>
      </c>
      <c r="I35" s="50"/>
      <c r="J35" s="49">
        <v>644</v>
      </c>
      <c r="K35" s="50"/>
      <c r="L35" s="50"/>
      <c r="M35" s="50"/>
      <c r="N35" s="50"/>
      <c r="O35" s="49" t="s">
        <v>84</v>
      </c>
      <c r="P35" s="50"/>
      <c r="Q35" s="50"/>
      <c r="R35" s="50"/>
      <c r="S35" s="52">
        <v>10858018</v>
      </c>
      <c r="T35" s="50"/>
      <c r="U35" s="50"/>
      <c r="V35" s="50"/>
      <c r="W35" s="50"/>
      <c r="X35" s="52">
        <v>10724599</v>
      </c>
      <c r="Y35" s="50"/>
      <c r="Z35" s="50"/>
      <c r="AA35" s="50"/>
      <c r="AB35" s="49">
        <v>5.3</v>
      </c>
      <c r="AC35" s="50"/>
      <c r="AD35" s="50"/>
      <c r="AE35" s="49">
        <v>4.7</v>
      </c>
      <c r="AF35" s="50"/>
      <c r="AG35" s="50"/>
      <c r="AH35" s="49" t="s">
        <v>85</v>
      </c>
      <c r="AI35" s="50"/>
      <c r="AJ35" s="50"/>
    </row>
    <row r="36" spans="1:36">
      <c r="A36" s="51" t="s">
        <v>86</v>
      </c>
      <c r="B36" s="50"/>
      <c r="C36" s="50"/>
      <c r="D36" s="50"/>
      <c r="E36" s="50"/>
      <c r="F36" s="50"/>
      <c r="G36" s="50"/>
      <c r="H36" s="49">
        <v>117</v>
      </c>
      <c r="I36" s="50"/>
      <c r="J36" s="49">
        <v>102</v>
      </c>
      <c r="K36" s="50"/>
      <c r="L36" s="50"/>
      <c r="M36" s="50"/>
      <c r="N36" s="50"/>
      <c r="O36" s="49" t="s">
        <v>20</v>
      </c>
      <c r="P36" s="50"/>
      <c r="Q36" s="50"/>
      <c r="R36" s="50"/>
      <c r="S36" s="52">
        <v>2062874</v>
      </c>
      <c r="T36" s="50"/>
      <c r="U36" s="50"/>
      <c r="V36" s="50"/>
      <c r="W36" s="50"/>
      <c r="X36" s="52">
        <v>2080908</v>
      </c>
      <c r="Y36" s="50"/>
      <c r="Z36" s="50"/>
      <c r="AA36" s="50"/>
      <c r="AB36" s="49">
        <v>2.2999999999999998</v>
      </c>
      <c r="AC36" s="50"/>
      <c r="AD36" s="50"/>
      <c r="AE36" s="49">
        <v>2</v>
      </c>
      <c r="AF36" s="50"/>
      <c r="AG36" s="50"/>
      <c r="AH36" s="49" t="s">
        <v>72</v>
      </c>
      <c r="AI36" s="50"/>
      <c r="AJ36" s="50"/>
    </row>
    <row r="37" spans="1:36">
      <c r="A37" s="51" t="s">
        <v>87</v>
      </c>
      <c r="B37" s="50"/>
      <c r="C37" s="50"/>
      <c r="D37" s="50"/>
      <c r="E37" s="50"/>
      <c r="F37" s="50"/>
      <c r="G37" s="50"/>
      <c r="H37" s="52">
        <v>35484</v>
      </c>
      <c r="I37" s="50"/>
      <c r="J37" s="52">
        <v>36355</v>
      </c>
      <c r="K37" s="50"/>
      <c r="L37" s="50"/>
      <c r="M37" s="50"/>
      <c r="N37" s="50"/>
      <c r="O37" s="49">
        <v>11.8</v>
      </c>
      <c r="P37" s="50"/>
      <c r="Q37" s="50"/>
      <c r="R37" s="50"/>
      <c r="S37" s="52">
        <v>320635163</v>
      </c>
      <c r="T37" s="50"/>
      <c r="U37" s="50"/>
      <c r="V37" s="50"/>
      <c r="W37" s="50"/>
      <c r="X37" s="52">
        <v>328239523</v>
      </c>
      <c r="Y37" s="50"/>
      <c r="Z37" s="50"/>
      <c r="AA37" s="50"/>
      <c r="AB37" s="49">
        <v>11.1</v>
      </c>
      <c r="AC37" s="50"/>
      <c r="AD37" s="50"/>
      <c r="AE37" s="49">
        <v>11.1</v>
      </c>
      <c r="AF37" s="50"/>
      <c r="AG37" s="50"/>
      <c r="AH37" s="49">
        <v>9</v>
      </c>
      <c r="AI37" s="50"/>
      <c r="AJ37" s="50"/>
    </row>
    <row r="38" spans="1:36">
      <c r="A38" s="51" t="s">
        <v>88</v>
      </c>
      <c r="B38" s="50"/>
      <c r="C38" s="50"/>
      <c r="D38" s="50"/>
      <c r="E38" s="50"/>
      <c r="F38" s="50"/>
      <c r="G38" s="50"/>
      <c r="H38" s="52">
        <v>1344</v>
      </c>
      <c r="I38" s="50"/>
      <c r="J38" s="52">
        <v>1230</v>
      </c>
      <c r="K38" s="50"/>
      <c r="L38" s="50"/>
      <c r="M38" s="50"/>
      <c r="N38" s="50"/>
      <c r="O38" s="49" t="s">
        <v>89</v>
      </c>
      <c r="P38" s="50"/>
      <c r="Q38" s="50"/>
      <c r="R38" s="50"/>
      <c r="S38" s="52">
        <v>26677573</v>
      </c>
      <c r="T38" s="50"/>
      <c r="U38" s="50"/>
      <c r="V38" s="50"/>
      <c r="W38" s="50"/>
      <c r="X38" s="52">
        <v>27061388</v>
      </c>
      <c r="Y38" s="50"/>
      <c r="Z38" s="50"/>
      <c r="AA38" s="50"/>
      <c r="AB38" s="49">
        <v>5.2</v>
      </c>
      <c r="AC38" s="50"/>
      <c r="AD38" s="50"/>
      <c r="AE38" s="49">
        <v>4.8</v>
      </c>
      <c r="AF38" s="50"/>
      <c r="AG38" s="50"/>
      <c r="AH38" s="49" t="s">
        <v>90</v>
      </c>
      <c r="AI38" s="50"/>
      <c r="AJ38" s="50"/>
    </row>
    <row r="39" spans="1:36">
      <c r="A39" s="51" t="s">
        <v>91</v>
      </c>
      <c r="B39" s="50"/>
      <c r="C39" s="50"/>
      <c r="D39" s="50"/>
      <c r="E39" s="50"/>
      <c r="F39" s="50"/>
      <c r="G39" s="50"/>
      <c r="H39" s="49">
        <v>648</v>
      </c>
      <c r="I39" s="50"/>
      <c r="J39" s="49">
        <v>633</v>
      </c>
      <c r="K39" s="50"/>
      <c r="L39" s="50"/>
      <c r="M39" s="50"/>
      <c r="N39" s="50"/>
      <c r="O39" s="49" t="s">
        <v>77</v>
      </c>
      <c r="P39" s="50"/>
      <c r="Q39" s="50"/>
      <c r="R39" s="50"/>
      <c r="S39" s="52">
        <v>10698147</v>
      </c>
      <c r="T39" s="50"/>
      <c r="U39" s="50"/>
      <c r="V39" s="50"/>
      <c r="W39" s="50"/>
      <c r="X39" s="52">
        <v>10687200</v>
      </c>
      <c r="Y39" s="50"/>
      <c r="Z39" s="50"/>
      <c r="AA39" s="50"/>
      <c r="AB39" s="49">
        <v>5.3</v>
      </c>
      <c r="AC39" s="50"/>
      <c r="AD39" s="50"/>
      <c r="AE39" s="49">
        <v>4.7</v>
      </c>
      <c r="AF39" s="50"/>
      <c r="AG39" s="50"/>
      <c r="AH39" s="49" t="s">
        <v>47</v>
      </c>
      <c r="AI39" s="50"/>
      <c r="AJ39" s="50"/>
    </row>
    <row r="40" spans="1:36">
      <c r="A40" s="59" t="s">
        <v>92</v>
      </c>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row>
    <row r="41" spans="1:36">
      <c r="A41" s="60" t="s">
        <v>93</v>
      </c>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row>
    <row r="42" spans="1:36">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8:36">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8:36">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8:36">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8:36">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8:36">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8:36">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8:36">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8:36">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8:36">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8:36">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8:36">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8:36">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row r="61" spans="8:36">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row>
    <row r="62" spans="8:36">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row>
    <row r="63" spans="8:36">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row>
    <row r="64" spans="8:36">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row>
    <row r="65" spans="8:36">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row>
    <row r="66" spans="8:36">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row>
    <row r="67" spans="8:36">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row>
    <row r="68" spans="8:36">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row>
    <row r="69" spans="8:36">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row>
    <row r="70" spans="8:36">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row>
    <row r="71" spans="8:36">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row>
    <row r="72" spans="8:36">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row>
    <row r="73" spans="8:36">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row>
    <row r="74" spans="8:36">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row>
    <row r="75" spans="8:36">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row>
    <row r="76" spans="8:36">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row>
    <row r="77" spans="8:36">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row>
    <row r="78" spans="8:36">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row>
    <row r="79" spans="8:36">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row>
    <row r="80" spans="8:36">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row>
    <row r="81" spans="8:36">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row>
    <row r="82" spans="8:36">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row>
    <row r="83" spans="8:36">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row>
    <row r="84" spans="8:36">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row>
    <row r="85" spans="8:36">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row>
    <row r="86" spans="8:36">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row>
    <row r="87" spans="8:36">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row>
    <row r="88" spans="8:36">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row>
    <row r="89" spans="8:36">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row>
    <row r="90" spans="8:36">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row>
    <row r="91" spans="8:36">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row>
    <row r="92" spans="8:36">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row>
    <row r="93" spans="8:36">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row>
    <row r="94" spans="8:36">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row>
    <row r="95" spans="8:36">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row>
    <row r="96" spans="8:36">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row>
    <row r="97" spans="8:36">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row>
    <row r="98" spans="8:36">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row>
    <row r="99" spans="8:36">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row>
    <row r="100" spans="8:36">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row>
    <row r="101" spans="8:36">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row>
    <row r="102" spans="8:36">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row>
    <row r="103" spans="8:36">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row>
    <row r="104" spans="8:36">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row>
    <row r="105" spans="8:36">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row>
    <row r="106" spans="8:36">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row>
    <row r="107" spans="8:36">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row>
    <row r="108" spans="8:36">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row>
    <row r="109" spans="8:36">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row>
    <row r="110" spans="8:36">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row>
    <row r="111" spans="8:36">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row>
    <row r="112" spans="8:36">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row>
    <row r="113" spans="8:36">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row>
    <row r="114" spans="8:36">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row>
    <row r="115" spans="8:36">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row>
    <row r="116" spans="8:36">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row>
    <row r="117" spans="8:36">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row>
    <row r="118" spans="8:36">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row>
    <row r="119" spans="8:36">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row>
    <row r="120" spans="8:36">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row>
    <row r="121" spans="8:36">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row>
    <row r="122" spans="8:36">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row>
    <row r="123" spans="8:36">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row>
    <row r="124" spans="8:36">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row>
    <row r="125" spans="8:36">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row>
    <row r="126" spans="8:36">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row>
    <row r="127" spans="8:36">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row>
    <row r="128" spans="8:36">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row>
    <row r="129" spans="8:36">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row>
    <row r="130" spans="8:36">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row>
    <row r="131" spans="8:36">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row>
    <row r="132" spans="8:36">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row>
    <row r="133" spans="8:36">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row>
    <row r="134" spans="8:36">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row>
    <row r="135" spans="8:36">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row>
    <row r="136" spans="8:36">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row>
    <row r="137" spans="8:36">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row>
    <row r="138" spans="8:36">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row>
    <row r="139" spans="8:36">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row>
    <row r="140" spans="8:36">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row>
    <row r="141" spans="8:36">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row>
    <row r="142" spans="8:36">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row>
    <row r="143" spans="8:36">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row>
    <row r="144" spans="8:36">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row>
    <row r="145" spans="8:36">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row>
    <row r="146" spans="8:36">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row>
    <row r="147" spans="8:36">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row>
    <row r="148" spans="8:36">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row>
    <row r="149" spans="8:36">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row>
    <row r="150" spans="8:36">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row>
    <row r="151" spans="8:36">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row>
    <row r="152" spans="8:36">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row>
    <row r="153" spans="8:36">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row>
    <row r="154" spans="8:36">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row>
    <row r="155" spans="8:36">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row>
    <row r="156" spans="8:36">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row>
    <row r="157" spans="8:36">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row>
    <row r="158" spans="8:36">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row>
    <row r="159" spans="8:36">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row>
    <row r="160" spans="8:36">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row>
    <row r="161" spans="8:36">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row>
    <row r="162" spans="8:36">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row>
    <row r="163" spans="8:36">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row>
    <row r="164" spans="8:36">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row>
    <row r="165" spans="8:36">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row>
    <row r="166" spans="8:36">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row>
    <row r="167" spans="8:36">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row>
    <row r="168" spans="8:36">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row>
    <row r="169" spans="8:36">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row>
    <row r="170" spans="8:36">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row>
    <row r="171" spans="8:36">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row>
    <row r="172" spans="8:36">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row>
    <row r="173" spans="8:36">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row>
    <row r="174" spans="8:36">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row>
    <row r="175" spans="8:36">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row>
    <row r="176" spans="8:36">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row>
    <row r="177" spans="8:36">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row>
    <row r="178" spans="8:36">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row>
    <row r="179" spans="8:36">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row>
    <row r="180" spans="8:36">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row>
    <row r="181" spans="8:36">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row>
    <row r="182" spans="8:36">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row>
    <row r="183" spans="8:36">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row>
    <row r="184" spans="8:36">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row>
    <row r="185" spans="8:36">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row>
    <row r="186" spans="8:36">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row>
    <row r="187" spans="8:36">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row>
    <row r="188" spans="8:36">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row>
    <row r="189" spans="8:36">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row>
    <row r="190" spans="8:36">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row>
    <row r="191" spans="8:36">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row>
    <row r="192" spans="8:36">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row>
    <row r="193" spans="8:36">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row>
    <row r="194" spans="8:36">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row>
    <row r="195" spans="8:36">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row>
    <row r="196" spans="8:36">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row>
    <row r="197" spans="8:36">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row>
    <row r="198" spans="8:36">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row>
    <row r="199" spans="8:36">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row>
    <row r="200" spans="8:36">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row>
    <row r="201" spans="8:36">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row>
    <row r="202" spans="8:36">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row>
    <row r="203" spans="8:36">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row>
    <row r="204" spans="8:36">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row>
    <row r="205" spans="8:36">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row>
    <row r="206" spans="8:36">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row>
    <row r="207" spans="8:36">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row>
    <row r="208" spans="8:36">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row>
    <row r="209" spans="8:36">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row>
    <row r="210" spans="8:36">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row>
    <row r="211" spans="8:36">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row>
    <row r="212" spans="8:36">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row>
    <row r="213" spans="8:36">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row>
    <row r="214" spans="8:36">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row>
    <row r="215" spans="8:36">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row>
    <row r="216" spans="8:36">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row>
    <row r="217" spans="8:36">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row>
    <row r="218" spans="8:36">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row>
    <row r="219" spans="8:36">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row>
    <row r="220" spans="8:36">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row>
    <row r="221" spans="8:36">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row>
    <row r="222" spans="8:36">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row>
    <row r="223" spans="8:36">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row>
    <row r="224" spans="8:36">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row>
    <row r="225" spans="8:36">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row>
    <row r="226" spans="8:36">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row>
    <row r="227" spans="8:36">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row>
    <row r="228" spans="8:36">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row>
    <row r="229" spans="8:36">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row>
    <row r="230" spans="8:36">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row>
    <row r="231" spans="8:36">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row>
    <row r="232" spans="8:36">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row>
    <row r="233" spans="8:36">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row>
    <row r="234" spans="8:36">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row>
    <row r="235" spans="8:36">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row>
    <row r="236" spans="8:36">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row>
    <row r="237" spans="8:36">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row>
    <row r="238" spans="8:36">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row>
    <row r="239" spans="8:36">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row>
    <row r="240" spans="8:36">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row>
    <row r="241" spans="8:36">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row>
    <row r="242" spans="8:36">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row>
    <row r="243" spans="8:36">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row>
    <row r="244" spans="8:36">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row>
    <row r="245" spans="8:36">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row>
    <row r="246" spans="8:36">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row>
    <row r="247" spans="8:36">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row>
    <row r="248" spans="8:36">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row>
    <row r="249" spans="8:36">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row>
    <row r="250" spans="8:36">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row>
    <row r="251" spans="8:36">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row>
    <row r="252" spans="8:36">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row>
    <row r="253" spans="8:36">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row>
    <row r="254" spans="8:36">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row>
    <row r="255" spans="8:36">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row>
    <row r="256" spans="8:36">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row>
    <row r="257" spans="8:36">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row>
    <row r="258" spans="8:36">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row>
    <row r="259" spans="8:36">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row>
    <row r="260" spans="8:36">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row>
    <row r="261" spans="8:36">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row>
    <row r="262" spans="8:36">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row>
    <row r="263" spans="8:36">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row>
    <row r="264" spans="8:36">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row>
    <row r="265" spans="8:36">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row>
    <row r="266" spans="8:36">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row>
    <row r="267" spans="8:36">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row>
    <row r="268" spans="8:36">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row>
    <row r="269" spans="8:36">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row>
    <row r="270" spans="8:36">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row>
    <row r="271" spans="8:36">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row>
    <row r="272" spans="8:36">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row>
    <row r="273" spans="8:36">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row>
    <row r="274" spans="8:36">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row>
    <row r="275" spans="8:36">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row>
    <row r="276" spans="8:36">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row>
    <row r="277" spans="8:36">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row>
    <row r="278" spans="8:36">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row>
    <row r="279" spans="8:36">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row>
    <row r="280" spans="8:36">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row>
    <row r="281" spans="8:36">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row>
    <row r="282" spans="8:36">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row>
    <row r="283" spans="8:36">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row>
    <row r="284" spans="8:36">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row>
    <row r="285" spans="8:36">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row>
    <row r="286" spans="8:36">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row>
    <row r="287" spans="8:36">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row>
    <row r="288" spans="8:36">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row>
    <row r="289" spans="8:36">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row>
    <row r="290" spans="8:36">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row>
    <row r="291" spans="8:36">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row>
    <row r="292" spans="8:36">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row>
    <row r="293" spans="8:36">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row>
    <row r="294" spans="8:36">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row>
    <row r="295" spans="8:36">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row>
    <row r="296" spans="8:36">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row>
    <row r="297" spans="8:36">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row>
    <row r="298" spans="8:36">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row>
    <row r="299" spans="8:36">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row>
    <row r="300" spans="8:36">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row>
    <row r="301" spans="8:36">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row>
    <row r="302" spans="8:36">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row>
    <row r="303" spans="8:36">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row>
    <row r="304" spans="8:36">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row>
    <row r="305" spans="8:36">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row>
    <row r="306" spans="8:36">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row>
    <row r="307" spans="8:36">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row>
    <row r="308" spans="8:36">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row>
    <row r="309" spans="8:36">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row>
    <row r="310" spans="8:36">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row>
    <row r="311" spans="8:36">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row>
    <row r="312" spans="8:36">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row>
    <row r="313" spans="8:36">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row>
    <row r="314" spans="8:36">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row>
    <row r="315" spans="8:36">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row>
    <row r="316" spans="8:36">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row>
    <row r="317" spans="8:36">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row>
    <row r="318" spans="8:36">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row>
    <row r="319" spans="8:36">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row>
    <row r="320" spans="8:36">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row>
    <row r="321" spans="8:36">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row>
    <row r="322" spans="8:36">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row>
    <row r="323" spans="8:36">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row>
    <row r="324" spans="8:36">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row>
    <row r="325" spans="8:36">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row>
    <row r="326" spans="8:36">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row>
    <row r="327" spans="8:36">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row>
    <row r="328" spans="8:36">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row>
    <row r="329" spans="8:36">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row>
    <row r="330" spans="8:36">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row>
    <row r="331" spans="8:36">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row>
    <row r="332" spans="8:36">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row>
    <row r="333" spans="8:36">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row>
    <row r="334" spans="8:36">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row>
    <row r="335" spans="8:36">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row>
    <row r="336" spans="8:36">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row>
    <row r="337" spans="8:36">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row>
    <row r="338" spans="8:36">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row>
    <row r="339" spans="8:36">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row>
    <row r="340" spans="8:36">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row>
    <row r="341" spans="8:36">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row>
    <row r="342" spans="8:36">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row>
    <row r="343" spans="8:36">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row>
    <row r="344" spans="8:36">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row>
    <row r="345" spans="8:36">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row>
    <row r="346" spans="8:36">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row>
    <row r="347" spans="8:36">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row>
    <row r="348" spans="8:36">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row>
    <row r="349" spans="8:36">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row>
    <row r="350" spans="8:36">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row>
    <row r="351" spans="8:36">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row>
    <row r="352" spans="8:36">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row>
    <row r="353" spans="8:36">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row>
    <row r="354" spans="8:36">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row>
    <row r="355" spans="8:36">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row>
    <row r="356" spans="8:36">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row>
    <row r="357" spans="8:36">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row>
    <row r="358" spans="8:36">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row>
    <row r="359" spans="8:36">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row>
    <row r="360" spans="8:36">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row>
    <row r="361" spans="8:36">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row>
    <row r="362" spans="8:36">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row>
    <row r="363" spans="8:36">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row>
    <row r="364" spans="8:36">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row>
    <row r="365" spans="8:36">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row>
    <row r="366" spans="8:36">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row>
    <row r="367" spans="8:36">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row>
    <row r="368" spans="8:36">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row>
    <row r="369" spans="8:36">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row>
    <row r="370" spans="8:36">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row>
    <row r="371" spans="8:36">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row>
    <row r="372" spans="8:36">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row>
    <row r="373" spans="8:36">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row>
    <row r="374" spans="8:36">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row>
    <row r="375" spans="8:36">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row>
    <row r="376" spans="8:36">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row>
    <row r="377" spans="8:36">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row>
    <row r="378" spans="8:36">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row>
    <row r="379" spans="8:36">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row>
    <row r="380" spans="8:36">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row>
    <row r="381" spans="8:36">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row>
    <row r="382" spans="8:36">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row>
    <row r="383" spans="8:36">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row>
    <row r="384" spans="8:36">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row>
    <row r="385" spans="8:36">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row>
    <row r="386" spans="8:36">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row>
    <row r="387" spans="8:36">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row>
    <row r="388" spans="8:36">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row>
    <row r="389" spans="8:36">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row>
    <row r="390" spans="8:36">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row>
    <row r="391" spans="8:36">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row>
    <row r="392" spans="8:36">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row>
    <row r="393" spans="8:36">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row>
    <row r="394" spans="8:36">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row>
    <row r="395" spans="8:36">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row>
    <row r="396" spans="8:36">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row>
    <row r="397" spans="8:36">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row>
    <row r="398" spans="8:36">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row>
    <row r="399" spans="8:36">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row>
    <row r="400" spans="8:36">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row>
    <row r="401" spans="8:36">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row>
    <row r="402" spans="8:36">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row>
    <row r="403" spans="8:36">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row>
    <row r="404" spans="8:36">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row>
    <row r="405" spans="8:36">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row>
    <row r="406" spans="8:36">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row>
    <row r="407" spans="8:36">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row>
    <row r="408" spans="8:36">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row>
    <row r="409" spans="8:36">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row>
    <row r="410" spans="8:36">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row>
    <row r="411" spans="8:36">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row>
    <row r="412" spans="8:36">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row>
    <row r="413" spans="8:36">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row>
    <row r="414" spans="8:36">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row>
    <row r="415" spans="8:36">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row>
    <row r="416" spans="8:36">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row>
    <row r="417" spans="8:36">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row>
    <row r="418" spans="8:36">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row>
    <row r="419" spans="8:36">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row>
    <row r="420" spans="8:36">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row>
    <row r="421" spans="8:36">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row>
    <row r="422" spans="8:36">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row>
    <row r="423" spans="8:36">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row>
    <row r="424" spans="8:36">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row>
    <row r="425" spans="8:36">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row>
    <row r="426" spans="8:36">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row>
    <row r="427" spans="8:36">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row>
    <row r="428" spans="8:36">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row>
    <row r="429" spans="8:36">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row>
    <row r="430" spans="8:36">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row>
    <row r="431" spans="8:36">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row>
    <row r="432" spans="8:36">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row>
    <row r="433" spans="8:36">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row>
    <row r="434" spans="8:36">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row>
    <row r="435" spans="8:36">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row>
    <row r="436" spans="8:36">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row>
    <row r="437" spans="8:36">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row>
    <row r="438" spans="8:36">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row>
    <row r="439" spans="8:36">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row>
    <row r="440" spans="8:36">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row>
    <row r="441" spans="8:36">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row>
    <row r="442" spans="8:36">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row>
    <row r="443" spans="8:36">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row>
    <row r="444" spans="8:36">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row>
    <row r="445" spans="8:36">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row>
    <row r="446" spans="8:36">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row>
    <row r="447" spans="8:36">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row>
    <row r="448" spans="8:36">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row>
    <row r="449" spans="8:36">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row>
    <row r="450" spans="8:36">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row>
    <row r="451" spans="8:36">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row>
    <row r="452" spans="8:36">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row>
    <row r="453" spans="8:36">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row>
    <row r="454" spans="8:36">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row>
    <row r="455" spans="8:36">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row>
    <row r="456" spans="8:36">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row>
    <row r="457" spans="8:36">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row>
    <row r="458" spans="8:36">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row>
    <row r="459" spans="8:36">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row>
    <row r="460" spans="8:36">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row>
    <row r="461" spans="8:36">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row>
    <row r="462" spans="8:36">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row>
    <row r="463" spans="8:36">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row>
    <row r="464" spans="8:36">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row>
    <row r="465" spans="8:36">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row>
    <row r="466" spans="8:36">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row>
    <row r="467" spans="8:36">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row>
    <row r="468" spans="8:36">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row>
    <row r="469" spans="8:36">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row>
    <row r="470" spans="8:36">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row>
    <row r="471" spans="8:36">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row>
    <row r="472" spans="8:36">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row>
    <row r="473" spans="8:36">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row>
    <row r="474" spans="8:36">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row>
    <row r="475" spans="8:36">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row>
    <row r="476" spans="8:36">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row>
    <row r="477" spans="8:36">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row>
    <row r="478" spans="8:36">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row>
    <row r="479" spans="8:36">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row>
    <row r="480" spans="8:36">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row>
    <row r="481" spans="8:36">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row>
    <row r="482" spans="8:36">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row>
    <row r="483" spans="8:36">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row>
    <row r="484" spans="8:36">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row>
    <row r="485" spans="8:36">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row>
    <row r="486" spans="8:36">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row>
    <row r="487" spans="8:36">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row>
    <row r="488" spans="8:36">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row>
    <row r="489" spans="8:36">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row>
    <row r="490" spans="8:36">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row>
    <row r="491" spans="8:36">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row>
    <row r="492" spans="8:36">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row>
    <row r="493" spans="8:36">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row>
    <row r="494" spans="8:36">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row>
    <row r="495" spans="8:36">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row>
    <row r="496" spans="8:36">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row>
    <row r="497" spans="8:36">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row>
    <row r="498" spans="8:36">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row>
    <row r="499" spans="8:36">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row>
    <row r="500" spans="8:36">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row>
    <row r="501" spans="8:36">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row>
    <row r="502" spans="8:36">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row>
    <row r="503" spans="8:36">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row>
    <row r="504" spans="8:36">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row>
    <row r="505" spans="8:36">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row>
    <row r="506" spans="8:36">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row>
    <row r="507" spans="8:36">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row>
    <row r="508" spans="8:36">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row>
    <row r="509" spans="8:36">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row>
    <row r="510" spans="8:36">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row>
    <row r="511" spans="8:36">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row>
    <row r="512" spans="8:36">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row>
    <row r="513" spans="8:36">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row>
    <row r="514" spans="8:36">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row>
    <row r="515" spans="8:36">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row>
    <row r="516" spans="8:36">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row>
    <row r="517" spans="8:36">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row>
    <row r="518" spans="8:36">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row>
    <row r="519" spans="8:36">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row>
    <row r="520" spans="8:36">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row>
    <row r="521" spans="8:36">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row>
    <row r="522" spans="8:36">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row>
    <row r="523" spans="8:36">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row>
    <row r="524" spans="8:36">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row>
    <row r="525" spans="8:36">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row>
    <row r="526" spans="8:36">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row>
    <row r="527" spans="8:36">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row>
    <row r="528" spans="8:36">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row>
    <row r="529" spans="8:36">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row>
    <row r="530" spans="8:36">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row>
    <row r="531" spans="8:36">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row>
    <row r="532" spans="8:36">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row>
    <row r="533" spans="8:36">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row>
    <row r="534" spans="8:36">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row>
    <row r="535" spans="8:36">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row>
    <row r="536" spans="8:36">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row>
    <row r="537" spans="8:36">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row>
    <row r="538" spans="8:36">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row>
    <row r="539" spans="8:36">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row>
    <row r="540" spans="8:36">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row>
    <row r="541" spans="8:36">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row>
    <row r="542" spans="8:36">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row>
    <row r="543" spans="8:36">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row>
    <row r="544" spans="8:36">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row>
    <row r="545" spans="8:36">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row>
    <row r="546" spans="8:36">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row>
    <row r="547" spans="8:36">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row>
    <row r="548" spans="8:36">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row>
    <row r="549" spans="8:36">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row>
    <row r="550" spans="8:36">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row>
    <row r="551" spans="8:36">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row>
    <row r="552" spans="8:36">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row>
    <row r="553" spans="8:36">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row>
    <row r="554" spans="8:36">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row>
    <row r="555" spans="8:36">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row>
    <row r="556" spans="8:36">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row>
    <row r="557" spans="8:36">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row>
    <row r="558" spans="8:36">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row>
    <row r="559" spans="8:36">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row>
    <row r="560" spans="8:36">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row>
    <row r="561" spans="8:36">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row>
    <row r="562" spans="8:36">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row>
    <row r="563" spans="8:36">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row>
    <row r="564" spans="8:36">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row>
    <row r="565" spans="8:36">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row>
    <row r="566" spans="8:36">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row>
    <row r="567" spans="8:36">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row>
    <row r="568" spans="8:36">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row>
    <row r="569" spans="8:36">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row>
    <row r="570" spans="8:36">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row>
    <row r="571" spans="8:36">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row>
    <row r="572" spans="8:36">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row>
    <row r="573" spans="8:36">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row>
    <row r="574" spans="8:36">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row>
    <row r="575" spans="8:36">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row>
    <row r="576" spans="8:36">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row>
    <row r="577" spans="8:36">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row>
    <row r="578" spans="8:36">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row>
    <row r="579" spans="8:36">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row>
    <row r="580" spans="8:36">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row>
    <row r="581" spans="8:36">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row>
    <row r="582" spans="8:36">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row>
    <row r="583" spans="8:36">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row>
    <row r="584" spans="8:36">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row>
    <row r="585" spans="8:36">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row>
    <row r="586" spans="8:36">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row>
    <row r="587" spans="8:36">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row>
    <row r="588" spans="8:36">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row>
    <row r="589" spans="8:36">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row>
    <row r="590" spans="8:36">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row>
    <row r="591" spans="8:36">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row>
    <row r="592" spans="8:36">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row>
    <row r="593" spans="8:36">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row>
    <row r="594" spans="8:36">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row>
    <row r="595" spans="8:36">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row>
    <row r="596" spans="8:36">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row>
    <row r="597" spans="8:36">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row>
    <row r="598" spans="8:36">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row>
    <row r="599" spans="8:36">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row>
    <row r="600" spans="8:36">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row>
    <row r="601" spans="8:36">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row>
    <row r="602" spans="8:36">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row>
    <row r="603" spans="8:36">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row>
    <row r="604" spans="8:36">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row>
    <row r="605" spans="8:36">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row>
    <row r="606" spans="8:36">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row>
    <row r="607" spans="8:36">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row>
    <row r="608" spans="8:36">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row>
    <row r="609" spans="8:36">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row>
    <row r="610" spans="8:36">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row>
    <row r="611" spans="8:36">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row>
    <row r="612" spans="8:36">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row>
    <row r="613" spans="8:36">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row>
    <row r="614" spans="8:36">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row>
    <row r="615" spans="8:36">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row>
    <row r="616" spans="8:36">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row>
    <row r="617" spans="8:36">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row>
    <row r="618" spans="8:36">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row>
    <row r="619" spans="8:36">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row>
    <row r="620" spans="8:36">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row>
    <row r="621" spans="8:36">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row>
    <row r="622" spans="8:36">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row>
    <row r="623" spans="8:36">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row>
    <row r="624" spans="8:36">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row>
    <row r="625" spans="8:36">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row>
    <row r="626" spans="8:36">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row>
    <row r="627" spans="8:36">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row>
    <row r="628" spans="8:36">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row>
    <row r="629" spans="8:36">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row>
    <row r="630" spans="8:36">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row>
    <row r="631" spans="8:36">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row>
    <row r="632" spans="8:36">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row>
    <row r="633" spans="8:36">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row>
    <row r="634" spans="8:36">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row>
    <row r="635" spans="8:36">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row>
    <row r="636" spans="8:36">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row>
    <row r="637" spans="8:36">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row>
    <row r="638" spans="8:36">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row>
    <row r="639" spans="8:36">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row>
    <row r="640" spans="8:36">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row>
    <row r="641" spans="8:36">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row>
    <row r="642" spans="8:36">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row>
    <row r="643" spans="8:36">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row>
    <row r="644" spans="8:36">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row>
    <row r="645" spans="8:36">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row>
    <row r="646" spans="8:36">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row>
    <row r="647" spans="8:36">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row>
    <row r="648" spans="8:36">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row>
    <row r="649" spans="8:36">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row>
    <row r="650" spans="8:36">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row>
    <row r="651" spans="8:36">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row>
    <row r="652" spans="8:36">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row>
    <row r="653" spans="8:36">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row>
    <row r="654" spans="8:36">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row>
    <row r="655" spans="8:36">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row>
    <row r="656" spans="8:36">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row>
    <row r="657" spans="8:36">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row>
    <row r="658" spans="8:36">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row>
    <row r="659" spans="8:36">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row>
    <row r="660" spans="8:36">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row>
    <row r="661" spans="8:36">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row>
    <row r="662" spans="8:36">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row>
    <row r="663" spans="8:36">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row>
    <row r="664" spans="8:36">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row>
    <row r="665" spans="8:36">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row>
    <row r="666" spans="8:36">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row>
    <row r="667" spans="8:36">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row>
    <row r="668" spans="8:36">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row>
    <row r="669" spans="8:36">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row>
    <row r="670" spans="8:36">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row>
    <row r="671" spans="8:36">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row>
    <row r="672" spans="8:36">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row>
    <row r="673" spans="8:36">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row>
    <row r="674" spans="8:36">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row>
    <row r="675" spans="8:36">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row>
    <row r="676" spans="8:36">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row>
    <row r="677" spans="8:36">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row>
    <row r="678" spans="8:36">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row>
    <row r="679" spans="8:36">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row>
    <row r="680" spans="8:36">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row>
    <row r="681" spans="8:36">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row>
    <row r="682" spans="8:36">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row>
    <row r="683" spans="8:36">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row>
    <row r="684" spans="8:36">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row>
    <row r="685" spans="8:36">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row>
    <row r="686" spans="8:36">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row>
    <row r="687" spans="8:36">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row>
    <row r="688" spans="8:36">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row>
    <row r="689" spans="8:36">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row>
    <row r="690" spans="8:36">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row>
    <row r="691" spans="8:36">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row>
    <row r="692" spans="8:36">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row>
    <row r="693" spans="8:36">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row>
    <row r="694" spans="8:36">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row>
    <row r="695" spans="8:36">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row>
    <row r="696" spans="8:36">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row>
    <row r="697" spans="8:36">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row>
    <row r="698" spans="8:36">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row>
    <row r="699" spans="8:36">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row>
    <row r="700" spans="8:36">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row>
    <row r="701" spans="8:36">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row>
    <row r="702" spans="8:36">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row>
    <row r="703" spans="8:36">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row>
    <row r="704" spans="8:36">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row>
    <row r="705" spans="8:36">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row>
    <row r="706" spans="8:36">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row>
    <row r="707" spans="8:36">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row>
    <row r="708" spans="8:36">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row>
    <row r="709" spans="8:36">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row>
    <row r="710" spans="8:36">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row>
    <row r="711" spans="8:36">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row>
    <row r="712" spans="8:36">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row>
    <row r="713" spans="8:36">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row>
    <row r="714" spans="8:36">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row>
    <row r="715" spans="8:36">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row>
    <row r="716" spans="8:36">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row>
    <row r="717" spans="8:36">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row>
    <row r="718" spans="8:36">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row>
    <row r="719" spans="8:36">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row>
    <row r="720" spans="8:36">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row>
    <row r="721" spans="8:36">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row>
    <row r="722" spans="8:36">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row>
    <row r="723" spans="8:36">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row>
    <row r="724" spans="8:36">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row>
    <row r="725" spans="8:36">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row>
    <row r="726" spans="8:36">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row>
    <row r="727" spans="8:36">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row>
    <row r="728" spans="8:36">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row>
    <row r="729" spans="8:36">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row>
    <row r="730" spans="8:36">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row>
    <row r="731" spans="8:36">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row>
    <row r="732" spans="8:36">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row>
    <row r="733" spans="8:36">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row>
    <row r="734" spans="8:36">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row>
    <row r="735" spans="8:36">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row>
    <row r="736" spans="8:36">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row>
    <row r="737" spans="8:36">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row>
    <row r="738" spans="8:36">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row>
    <row r="739" spans="8:36">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row>
    <row r="740" spans="8:36">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row>
    <row r="741" spans="8:36">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row>
    <row r="742" spans="8:36">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row>
    <row r="743" spans="8:36">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row>
    <row r="744" spans="8:36">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row>
    <row r="745" spans="8:36">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row>
    <row r="746" spans="8:36">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row>
    <row r="747" spans="8:36">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row>
    <row r="748" spans="8:36">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row>
    <row r="749" spans="8:36">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row>
    <row r="750" spans="8:36">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row>
    <row r="751" spans="8:36">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row>
    <row r="752" spans="8:36">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row>
    <row r="753" spans="8:36">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row>
    <row r="754" spans="8:36">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row>
    <row r="755" spans="8:36">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row>
    <row r="756" spans="8:36">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row>
    <row r="757" spans="8:36">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row>
    <row r="758" spans="8:36">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row>
    <row r="759" spans="8:36">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row>
    <row r="760" spans="8:36">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row>
    <row r="761" spans="8:36">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row>
    <row r="762" spans="8:36">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row>
    <row r="763" spans="8:36">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row>
    <row r="764" spans="8:36">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row>
    <row r="765" spans="8:36">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row>
    <row r="766" spans="8:36">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row>
    <row r="767" spans="8:36">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row>
    <row r="768" spans="8:36">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row>
    <row r="769" spans="8:36">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row>
    <row r="770" spans="8:36">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row>
    <row r="771" spans="8:36">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row>
    <row r="772" spans="8:36">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row>
    <row r="773" spans="8:36">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row>
    <row r="774" spans="8:36">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row>
    <row r="775" spans="8:36">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row>
    <row r="776" spans="8:36">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row>
    <row r="777" spans="8:36">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row>
    <row r="778" spans="8:36">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row>
    <row r="779" spans="8:36">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row>
    <row r="780" spans="8:36">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row>
    <row r="781" spans="8:36">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row>
    <row r="782" spans="8:36">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row>
    <row r="783" spans="8:36">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row>
    <row r="784" spans="8:36">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row>
    <row r="785" spans="8:36">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row>
    <row r="786" spans="8:36">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row>
    <row r="787" spans="8:36">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row>
    <row r="788" spans="8:36">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row>
    <row r="789" spans="8:36">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row>
    <row r="790" spans="8:36">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row>
    <row r="791" spans="8:36">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row>
    <row r="792" spans="8:36">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row>
    <row r="793" spans="8:36">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row>
    <row r="794" spans="8:36">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row>
    <row r="795" spans="8:36">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row>
    <row r="796" spans="8:36">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row>
    <row r="797" spans="8:36">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row>
    <row r="798" spans="8:36">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row>
    <row r="799" spans="8:36">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row>
    <row r="800" spans="8:36">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row>
    <row r="801" spans="8:36">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row>
    <row r="802" spans="8:36">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row>
    <row r="803" spans="8:36">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row>
    <row r="804" spans="8:36">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row>
    <row r="805" spans="8:36">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row>
    <row r="806" spans="8:36">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row>
    <row r="807" spans="8:36">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row>
    <row r="808" spans="8:36">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row>
    <row r="809" spans="8:36">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row>
    <row r="810" spans="8:36">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row>
    <row r="811" spans="8:36">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row>
    <row r="812" spans="8:36">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row>
    <row r="813" spans="8:36">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row>
    <row r="814" spans="8:36">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row>
    <row r="815" spans="8:36">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row>
    <row r="816" spans="8:36">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row>
    <row r="817" spans="8:36">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row>
    <row r="818" spans="8:36">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row>
    <row r="819" spans="8:36">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row>
    <row r="820" spans="8:36">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row>
    <row r="821" spans="8:36">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row>
    <row r="822" spans="8:36">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row>
    <row r="823" spans="8:36">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row>
    <row r="824" spans="8:36">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row>
    <row r="825" spans="8:36">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row>
    <row r="826" spans="8:36">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row>
    <row r="827" spans="8:36">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row>
    <row r="828" spans="8:36">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row>
    <row r="829" spans="8:36">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row>
    <row r="830" spans="8:36">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row>
    <row r="831" spans="8:36">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row>
    <row r="832" spans="8:36">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row>
    <row r="833" spans="8:36">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row>
    <row r="834" spans="8:36">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row>
    <row r="835" spans="8:36">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row>
    <row r="836" spans="8:36">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row>
    <row r="837" spans="8:36">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row>
    <row r="838" spans="8:36">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row>
    <row r="839" spans="8:36">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row>
    <row r="840" spans="8:36">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row>
    <row r="841" spans="8:36">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row>
    <row r="842" spans="8:36">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row>
    <row r="843" spans="8:36">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row>
    <row r="844" spans="8:36">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row>
    <row r="845" spans="8:36">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row>
    <row r="846" spans="8:36">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row>
    <row r="847" spans="8:36">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row>
    <row r="848" spans="8:36">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row>
    <row r="849" spans="8:36">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row>
    <row r="850" spans="8:36">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row>
    <row r="851" spans="8:36">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row>
    <row r="852" spans="8:36">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row>
    <row r="853" spans="8:36">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row>
    <row r="854" spans="8:36">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row>
    <row r="855" spans="8:36">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row>
    <row r="856" spans="8:36">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row>
    <row r="857" spans="8:36">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row>
    <row r="858" spans="8:36">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row>
    <row r="859" spans="8:36">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row>
    <row r="860" spans="8:36">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row>
    <row r="861" spans="8:36">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row>
    <row r="862" spans="8:36">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row>
    <row r="863" spans="8:36">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row>
    <row r="864" spans="8:36">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row>
    <row r="865" spans="8:36">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row>
    <row r="866" spans="8:36">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row>
    <row r="867" spans="8:36">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row>
    <row r="868" spans="8:36">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row>
    <row r="869" spans="8:36">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row>
    <row r="870" spans="8:36">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row>
    <row r="871" spans="8:36">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row>
    <row r="872" spans="8:36">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row>
    <row r="873" spans="8:36">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row>
    <row r="874" spans="8:36">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row>
    <row r="875" spans="8:36">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row>
    <row r="876" spans="8:36">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row>
    <row r="877" spans="8:36">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row>
    <row r="878" spans="8:36">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row>
    <row r="879" spans="8:36">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row>
    <row r="880" spans="8:36">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row>
    <row r="881" spans="8:36">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row>
    <row r="882" spans="8:36">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row>
    <row r="883" spans="8:36">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row>
    <row r="884" spans="8:36">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row>
    <row r="885" spans="8:36">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row>
    <row r="886" spans="8:36">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row>
    <row r="887" spans="8:36">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row>
    <row r="888" spans="8:36">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row>
    <row r="889" spans="8:36">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row>
    <row r="890" spans="8:36">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row>
    <row r="891" spans="8:36">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row>
    <row r="892" spans="8:36">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row>
    <row r="893" spans="8:36">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row>
    <row r="894" spans="8:36">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row>
    <row r="895" spans="8:36">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row>
    <row r="896" spans="8:36">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row>
    <row r="897" spans="8:36">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row>
    <row r="898" spans="8:36">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row>
    <row r="899" spans="8:36">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row>
    <row r="900" spans="8:36">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row>
    <row r="901" spans="8:36">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row>
    <row r="902" spans="8:36">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row>
    <row r="903" spans="8:36">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row>
    <row r="904" spans="8:36">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row>
    <row r="905" spans="8:36">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row>
    <row r="906" spans="8:36">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row>
    <row r="907" spans="8:36">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row>
    <row r="908" spans="8:36">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row>
    <row r="909" spans="8:36">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row>
    <row r="910" spans="8:36">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row>
    <row r="911" spans="8:36">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row>
    <row r="912" spans="8:36">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row>
    <row r="913" spans="8:36">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row>
    <row r="914" spans="8:36">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row>
    <row r="915" spans="8:36">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row>
    <row r="916" spans="8:36">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row>
    <row r="917" spans="8:36">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row>
    <row r="918" spans="8:36">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row>
    <row r="919" spans="8:36">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row>
    <row r="920" spans="8:36">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row>
    <row r="921" spans="8:36">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row>
    <row r="922" spans="8:36">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row>
    <row r="923" spans="8:36">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row>
    <row r="924" spans="8:36">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row>
    <row r="925" spans="8:36">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row>
    <row r="926" spans="8:36">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row>
    <row r="927" spans="8:36">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row>
    <row r="928" spans="8:36">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row>
    <row r="929" spans="8:36">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row>
    <row r="930" spans="8:36">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row>
    <row r="931" spans="8:36">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row>
    <row r="932" spans="8:36">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row>
    <row r="933" spans="8:36">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row>
    <row r="934" spans="8:36">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row>
    <row r="935" spans="8:36">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row>
    <row r="936" spans="8:36">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row>
    <row r="937" spans="8:36">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row>
    <row r="938" spans="8:36">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row>
    <row r="939" spans="8:36">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row>
    <row r="940" spans="8:36">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row>
    <row r="941" spans="8:36">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row>
    <row r="942" spans="8:36">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row>
    <row r="943" spans="8:36">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row>
    <row r="944" spans="8:36">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row>
    <row r="945" spans="8:36">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row>
    <row r="946" spans="8:36">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row>
    <row r="947" spans="8:36">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row>
    <row r="948" spans="8:36">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row>
    <row r="949" spans="8:36">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row>
    <row r="950" spans="8:36">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row>
    <row r="951" spans="8:36">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row>
    <row r="952" spans="8:36">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row>
    <row r="953" spans="8:36">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row>
    <row r="954" spans="8:36">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row>
    <row r="955" spans="8:36">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row>
    <row r="956" spans="8:36">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row>
    <row r="957" spans="8:36">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row>
    <row r="958" spans="8:36">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row>
    <row r="959" spans="8:36">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row>
    <row r="960" spans="8:36">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row>
    <row r="961" spans="8:36">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row>
    <row r="962" spans="8:36">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row>
    <row r="963" spans="8:36">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row>
    <row r="964" spans="8:36">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row>
    <row r="965" spans="8:36">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row>
    <row r="966" spans="8:36">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row>
    <row r="967" spans="8:36">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row>
    <row r="968" spans="8:36">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row>
    <row r="969" spans="8:36">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row>
    <row r="970" spans="8:36">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row>
    <row r="971" spans="8:36">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row>
    <row r="972" spans="8:36">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row>
    <row r="973" spans="8:36">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row>
    <row r="974" spans="8:36">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row>
    <row r="975" spans="8:36">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row>
    <row r="976" spans="8:36">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row>
    <row r="977" spans="8:36">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row>
    <row r="978" spans="8:36">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row>
    <row r="979" spans="8:36">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row>
    <row r="980" spans="8:36">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row>
    <row r="981" spans="8:36">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row>
    <row r="982" spans="8:36">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row>
    <row r="983" spans="8:36">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row>
    <row r="984" spans="8:36">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row>
    <row r="985" spans="8:36">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row>
    <row r="986" spans="8:36">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row>
    <row r="987" spans="8:36">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row>
    <row r="988" spans="8:36">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row>
    <row r="989" spans="8:36">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row>
    <row r="990" spans="8:36">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row>
    <row r="991" spans="8:36">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row>
    <row r="992" spans="8:36">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row>
    <row r="993" spans="8:36">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row>
    <row r="994" spans="8:36">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row>
    <row r="995" spans="8:36">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row>
    <row r="996" spans="8:36">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row>
    <row r="997" spans="8:36">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row>
    <row r="998" spans="8:36">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row>
    <row r="999" spans="8:36">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row>
  </sheetData>
  <mergeCells count="331">
    <mergeCell ref="AE39:AG39"/>
    <mergeCell ref="AH39:AJ39"/>
    <mergeCell ref="A40:AJ40"/>
    <mergeCell ref="A41:AJ41"/>
    <mergeCell ref="A39:G39"/>
    <mergeCell ref="H39:I39"/>
    <mergeCell ref="J39:N39"/>
    <mergeCell ref="O39:R39"/>
    <mergeCell ref="S39:W39"/>
    <mergeCell ref="X39:AA39"/>
    <mergeCell ref="AB39:AD39"/>
    <mergeCell ref="AE38:AG38"/>
    <mergeCell ref="AH38:AJ38"/>
    <mergeCell ref="A38:G38"/>
    <mergeCell ref="H38:I38"/>
    <mergeCell ref="J38:N38"/>
    <mergeCell ref="O38:R38"/>
    <mergeCell ref="S38:W38"/>
    <mergeCell ref="X38:AA38"/>
    <mergeCell ref="AB38:AD38"/>
    <mergeCell ref="AE31:AG31"/>
    <mergeCell ref="AH31:AJ31"/>
    <mergeCell ref="A31:G31"/>
    <mergeCell ref="H31:I31"/>
    <mergeCell ref="J31:N31"/>
    <mergeCell ref="O31:R31"/>
    <mergeCell ref="S31:W31"/>
    <mergeCell ref="X31:AA31"/>
    <mergeCell ref="AB31:AD31"/>
    <mergeCell ref="AE30:AG30"/>
    <mergeCell ref="AH30:AJ30"/>
    <mergeCell ref="A30:G30"/>
    <mergeCell ref="H30:I30"/>
    <mergeCell ref="J30:N30"/>
    <mergeCell ref="O30:R30"/>
    <mergeCell ref="S30:W30"/>
    <mergeCell ref="X30:AA30"/>
    <mergeCell ref="AB30:AD30"/>
    <mergeCell ref="AE29:AG29"/>
    <mergeCell ref="AH29:AJ29"/>
    <mergeCell ref="A29:G29"/>
    <mergeCell ref="H29:I29"/>
    <mergeCell ref="J29:N29"/>
    <mergeCell ref="O29:R29"/>
    <mergeCell ref="S29:W29"/>
    <mergeCell ref="X29:AA29"/>
    <mergeCell ref="AB29:AD29"/>
    <mergeCell ref="AE28:AG28"/>
    <mergeCell ref="AH28:AJ28"/>
    <mergeCell ref="A28:G28"/>
    <mergeCell ref="H28:I28"/>
    <mergeCell ref="J28:N28"/>
    <mergeCell ref="O28:R28"/>
    <mergeCell ref="S28:W28"/>
    <mergeCell ref="X28:AA28"/>
    <mergeCell ref="AB28:AD28"/>
    <mergeCell ref="AE27:AG27"/>
    <mergeCell ref="AH27:AJ27"/>
    <mergeCell ref="A27:G27"/>
    <mergeCell ref="H27:I27"/>
    <mergeCell ref="J27:N27"/>
    <mergeCell ref="O27:R27"/>
    <mergeCell ref="S27:W27"/>
    <mergeCell ref="X27:AA27"/>
    <mergeCell ref="AB27:AD27"/>
    <mergeCell ref="AE37:AG37"/>
    <mergeCell ref="AH37:AJ37"/>
    <mergeCell ref="A37:G37"/>
    <mergeCell ref="H37:I37"/>
    <mergeCell ref="J37:N37"/>
    <mergeCell ref="O37:R37"/>
    <mergeCell ref="S37:W37"/>
    <mergeCell ref="X37:AA37"/>
    <mergeCell ref="AB37:AD37"/>
    <mergeCell ref="AE36:AG36"/>
    <mergeCell ref="AH36:AJ36"/>
    <mergeCell ref="A36:G36"/>
    <mergeCell ref="H36:I36"/>
    <mergeCell ref="J36:N36"/>
    <mergeCell ref="O36:R36"/>
    <mergeCell ref="S36:W36"/>
    <mergeCell ref="X36:AA36"/>
    <mergeCell ref="AB36:AD36"/>
    <mergeCell ref="AE35:AG35"/>
    <mergeCell ref="AH35:AJ35"/>
    <mergeCell ref="A35:G35"/>
    <mergeCell ref="H35:I35"/>
    <mergeCell ref="J35:N35"/>
    <mergeCell ref="O35:R35"/>
    <mergeCell ref="S35:W35"/>
    <mergeCell ref="X35:AA35"/>
    <mergeCell ref="AB35:AD35"/>
    <mergeCell ref="AB34:AD34"/>
    <mergeCell ref="AE34:AG34"/>
    <mergeCell ref="AH34:AJ34"/>
    <mergeCell ref="A32:G32"/>
    <mergeCell ref="A34:G34"/>
    <mergeCell ref="H34:I34"/>
    <mergeCell ref="J34:N34"/>
    <mergeCell ref="O34:R34"/>
    <mergeCell ref="S34:W34"/>
    <mergeCell ref="X34:AA34"/>
    <mergeCell ref="AE32:AG32"/>
    <mergeCell ref="AH32:AJ32"/>
    <mergeCell ref="H32:I32"/>
    <mergeCell ref="J32:N32"/>
    <mergeCell ref="O32:R32"/>
    <mergeCell ref="S32:W32"/>
    <mergeCell ref="X32:AA32"/>
    <mergeCell ref="AB32:AD32"/>
    <mergeCell ref="A33:AJ33"/>
    <mergeCell ref="AE5:AG5"/>
    <mergeCell ref="AH5:AJ5"/>
    <mergeCell ref="A5:G5"/>
    <mergeCell ref="H5:I5"/>
    <mergeCell ref="J5:N5"/>
    <mergeCell ref="O5:R5"/>
    <mergeCell ref="S5:W5"/>
    <mergeCell ref="X5:AA5"/>
    <mergeCell ref="AB5:AD5"/>
    <mergeCell ref="X2:AA3"/>
    <mergeCell ref="AB3:AD3"/>
    <mergeCell ref="X4:AA4"/>
    <mergeCell ref="AB4:AD4"/>
    <mergeCell ref="AE3:AG3"/>
    <mergeCell ref="AH3:AJ3"/>
    <mergeCell ref="AE4:AG4"/>
    <mergeCell ref="AH4:AJ4"/>
    <mergeCell ref="A1:AB1"/>
    <mergeCell ref="A2:G3"/>
    <mergeCell ref="H2:N2"/>
    <mergeCell ref="O2:R2"/>
    <mergeCell ref="S2:W3"/>
    <mergeCell ref="AB2:AJ2"/>
    <mergeCell ref="O3:R3"/>
    <mergeCell ref="H3:I3"/>
    <mergeCell ref="J3:N3"/>
    <mergeCell ref="A4:G4"/>
    <mergeCell ref="H4:I4"/>
    <mergeCell ref="J4:N4"/>
    <mergeCell ref="O4:R4"/>
    <mergeCell ref="S4:W4"/>
    <mergeCell ref="AE26:AG26"/>
    <mergeCell ref="AH26:AJ26"/>
    <mergeCell ref="A26:G26"/>
    <mergeCell ref="H26:I26"/>
    <mergeCell ref="J26:N26"/>
    <mergeCell ref="O26:R26"/>
    <mergeCell ref="S26:W26"/>
    <mergeCell ref="X26:AA26"/>
    <mergeCell ref="AB26:AD26"/>
    <mergeCell ref="AE25:AG25"/>
    <mergeCell ref="AH25:AJ25"/>
    <mergeCell ref="A25:G25"/>
    <mergeCell ref="H25:I25"/>
    <mergeCell ref="J25:N25"/>
    <mergeCell ref="O25:R25"/>
    <mergeCell ref="S25:W25"/>
    <mergeCell ref="X25:AA25"/>
    <mergeCell ref="AB25:AD25"/>
    <mergeCell ref="AE24:AG24"/>
    <mergeCell ref="AH24:AJ24"/>
    <mergeCell ref="A24:G24"/>
    <mergeCell ref="H24:I24"/>
    <mergeCell ref="J24:N24"/>
    <mergeCell ref="O24:R24"/>
    <mergeCell ref="S24:W24"/>
    <mergeCell ref="X24:AA24"/>
    <mergeCell ref="AB24:AD24"/>
    <mergeCell ref="AE23:AG23"/>
    <mergeCell ref="AH23:AJ23"/>
    <mergeCell ref="A23:G23"/>
    <mergeCell ref="H23:I23"/>
    <mergeCell ref="J23:N23"/>
    <mergeCell ref="O23:R23"/>
    <mergeCell ref="S23:W23"/>
    <mergeCell ref="X23:AA23"/>
    <mergeCell ref="AB23:AD23"/>
    <mergeCell ref="AE22:AG22"/>
    <mergeCell ref="AH22:AJ22"/>
    <mergeCell ref="A22:G22"/>
    <mergeCell ref="H22:I22"/>
    <mergeCell ref="J22:N22"/>
    <mergeCell ref="O22:R22"/>
    <mergeCell ref="S22:W22"/>
    <mergeCell ref="X22:AA22"/>
    <mergeCell ref="AB22:AD22"/>
    <mergeCell ref="AE21:AG21"/>
    <mergeCell ref="AH21:AJ21"/>
    <mergeCell ref="A21:G21"/>
    <mergeCell ref="H21:I21"/>
    <mergeCell ref="J21:N21"/>
    <mergeCell ref="O21:R21"/>
    <mergeCell ref="S21:W21"/>
    <mergeCell ref="X21:AA21"/>
    <mergeCell ref="AB21:AD21"/>
    <mergeCell ref="AE20:AG20"/>
    <mergeCell ref="AH20:AJ20"/>
    <mergeCell ref="A20:G20"/>
    <mergeCell ref="H20:I20"/>
    <mergeCell ref="J20:N20"/>
    <mergeCell ref="O20:R20"/>
    <mergeCell ref="S20:W20"/>
    <mergeCell ref="X20:AA20"/>
    <mergeCell ref="AB20:AD20"/>
    <mergeCell ref="AE19:AG19"/>
    <mergeCell ref="AH19:AJ19"/>
    <mergeCell ref="A19:G19"/>
    <mergeCell ref="H19:I19"/>
    <mergeCell ref="J19:N19"/>
    <mergeCell ref="O19:R19"/>
    <mergeCell ref="S19:W19"/>
    <mergeCell ref="X19:AA19"/>
    <mergeCell ref="AB19:AD19"/>
    <mergeCell ref="AE18:AG18"/>
    <mergeCell ref="AH18:AJ18"/>
    <mergeCell ref="A18:G18"/>
    <mergeCell ref="H18:I18"/>
    <mergeCell ref="J18:N18"/>
    <mergeCell ref="O18:R18"/>
    <mergeCell ref="S18:W18"/>
    <mergeCell ref="X18:AA18"/>
    <mergeCell ref="AB18:AD18"/>
    <mergeCell ref="AE17:AG17"/>
    <mergeCell ref="AH17:AJ17"/>
    <mergeCell ref="A17:G17"/>
    <mergeCell ref="H17:I17"/>
    <mergeCell ref="J17:N17"/>
    <mergeCell ref="O17:R17"/>
    <mergeCell ref="S17:W17"/>
    <mergeCell ref="X17:AA17"/>
    <mergeCell ref="AB17:AD17"/>
    <mergeCell ref="AE16:AG16"/>
    <mergeCell ref="AH16:AJ16"/>
    <mergeCell ref="A16:G16"/>
    <mergeCell ref="H16:I16"/>
    <mergeCell ref="J16:N16"/>
    <mergeCell ref="O16:R16"/>
    <mergeCell ref="S16:W16"/>
    <mergeCell ref="X16:AA16"/>
    <mergeCell ref="AB16:AD16"/>
    <mergeCell ref="AE15:AG15"/>
    <mergeCell ref="AH15:AJ15"/>
    <mergeCell ref="A15:G15"/>
    <mergeCell ref="H15:I15"/>
    <mergeCell ref="J15:N15"/>
    <mergeCell ref="O15:R15"/>
    <mergeCell ref="S15:W15"/>
    <mergeCell ref="X15:AA15"/>
    <mergeCell ref="AB15:AD15"/>
    <mergeCell ref="AE14:AG14"/>
    <mergeCell ref="AH14:AJ14"/>
    <mergeCell ref="A14:G14"/>
    <mergeCell ref="H14:I14"/>
    <mergeCell ref="J14:N14"/>
    <mergeCell ref="O14:R14"/>
    <mergeCell ref="S14:W14"/>
    <mergeCell ref="X14:AA14"/>
    <mergeCell ref="AB14:AD14"/>
    <mergeCell ref="AE13:AG13"/>
    <mergeCell ref="AH13:AJ13"/>
    <mergeCell ref="A13:G13"/>
    <mergeCell ref="H13:I13"/>
    <mergeCell ref="J13:N13"/>
    <mergeCell ref="O13:R13"/>
    <mergeCell ref="S13:W13"/>
    <mergeCell ref="X13:AA13"/>
    <mergeCell ref="AB13:AD13"/>
    <mergeCell ref="AE12:AG12"/>
    <mergeCell ref="AH12:AJ12"/>
    <mergeCell ref="A12:G12"/>
    <mergeCell ref="H12:I12"/>
    <mergeCell ref="J12:N12"/>
    <mergeCell ref="O12:R12"/>
    <mergeCell ref="S12:W12"/>
    <mergeCell ref="X12:AA12"/>
    <mergeCell ref="AB12:AD12"/>
    <mergeCell ref="AE11:AG11"/>
    <mergeCell ref="AH11:AJ11"/>
    <mergeCell ref="A11:G11"/>
    <mergeCell ref="H11:I11"/>
    <mergeCell ref="J11:N11"/>
    <mergeCell ref="O11:R11"/>
    <mergeCell ref="S11:W11"/>
    <mergeCell ref="X11:AA11"/>
    <mergeCell ref="AB11:AD11"/>
    <mergeCell ref="AE10:AG10"/>
    <mergeCell ref="AH10:AJ10"/>
    <mergeCell ref="A10:G10"/>
    <mergeCell ref="H10:I10"/>
    <mergeCell ref="J10:N10"/>
    <mergeCell ref="O10:R10"/>
    <mergeCell ref="S10:W10"/>
    <mergeCell ref="X10:AA10"/>
    <mergeCell ref="AB10:AD10"/>
    <mergeCell ref="AE9:AG9"/>
    <mergeCell ref="AH9:AJ9"/>
    <mergeCell ref="A9:G9"/>
    <mergeCell ref="H9:I9"/>
    <mergeCell ref="J9:N9"/>
    <mergeCell ref="O9:R9"/>
    <mergeCell ref="S9:W9"/>
    <mergeCell ref="X9:AA9"/>
    <mergeCell ref="AB9:AD9"/>
    <mergeCell ref="AE8:AG8"/>
    <mergeCell ref="AH8:AJ8"/>
    <mergeCell ref="A8:G8"/>
    <mergeCell ref="H8:I8"/>
    <mergeCell ref="J8:N8"/>
    <mergeCell ref="O8:R8"/>
    <mergeCell ref="S8:W8"/>
    <mergeCell ref="X8:AA8"/>
    <mergeCell ref="AB8:AD8"/>
    <mergeCell ref="AE7:AG7"/>
    <mergeCell ref="AH7:AJ7"/>
    <mergeCell ref="A7:G7"/>
    <mergeCell ref="H7:I7"/>
    <mergeCell ref="J7:N7"/>
    <mergeCell ref="O7:R7"/>
    <mergeCell ref="S7:W7"/>
    <mergeCell ref="X7:AA7"/>
    <mergeCell ref="AB7:AD7"/>
    <mergeCell ref="AE6:AG6"/>
    <mergeCell ref="AH6:AJ6"/>
    <mergeCell ref="A6:G6"/>
    <mergeCell ref="H6:I6"/>
    <mergeCell ref="J6:N6"/>
    <mergeCell ref="O6:R6"/>
    <mergeCell ref="S6:W6"/>
    <mergeCell ref="X6:AA6"/>
    <mergeCell ref="AB6:AD6"/>
  </mergeCells>
  <hyperlinks>
    <hyperlink ref="A40"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5197-9A95-462F-BCCF-91406E4B458D}">
  <sheetPr codeName="Sheet4"/>
  <dimension ref="A1:K32"/>
  <sheetViews>
    <sheetView workbookViewId="0">
      <selection activeCell="H19" sqref="H19"/>
    </sheetView>
  </sheetViews>
  <sheetFormatPr defaultRowHeight="12.75"/>
  <cols>
    <col min="1" max="1" width="14.28515625" bestFit="1" customWidth="1"/>
    <col min="2" max="3" width="15.140625" bestFit="1" customWidth="1"/>
    <col min="4" max="4" width="22" bestFit="1" customWidth="1"/>
    <col min="5" max="6" width="14.42578125" bestFit="1" customWidth="1"/>
    <col min="7" max="7" width="21.5703125" customWidth="1"/>
    <col min="8" max="8" width="21.42578125" customWidth="1"/>
    <col min="9" max="9" width="20.140625" style="15" bestFit="1" customWidth="1"/>
    <col min="10" max="10" width="14.85546875" style="15" customWidth="1"/>
    <col min="11" max="11" width="9.140625" style="15"/>
  </cols>
  <sheetData>
    <row r="1" spans="1:11">
      <c r="A1" s="6" t="s">
        <v>163</v>
      </c>
      <c r="B1" s="6" t="s">
        <v>157</v>
      </c>
      <c r="C1" s="6" t="s">
        <v>160</v>
      </c>
      <c r="D1" s="10" t="s">
        <v>8</v>
      </c>
      <c r="E1" s="6" t="s">
        <v>158</v>
      </c>
      <c r="F1" s="6" t="s">
        <v>159</v>
      </c>
      <c r="G1" s="12" t="s">
        <v>161</v>
      </c>
      <c r="H1" s="12" t="s">
        <v>162</v>
      </c>
      <c r="I1" s="12" t="s">
        <v>8</v>
      </c>
      <c r="J1" s="17"/>
      <c r="K1" s="17"/>
    </row>
    <row r="2" spans="1:11">
      <c r="A2" s="7" t="s">
        <v>9</v>
      </c>
      <c r="B2" s="8">
        <v>35484</v>
      </c>
      <c r="C2" s="8">
        <v>36355</v>
      </c>
      <c r="D2" s="11">
        <v>2.5</v>
      </c>
      <c r="E2" s="8">
        <v>320635163</v>
      </c>
      <c r="F2" s="13">
        <v>328239523</v>
      </c>
      <c r="G2" s="9">
        <v>11.1</v>
      </c>
      <c r="H2" s="11">
        <v>11.1</v>
      </c>
      <c r="I2" s="9">
        <v>0.1</v>
      </c>
      <c r="J2" s="28"/>
      <c r="K2" s="17"/>
    </row>
    <row r="3" spans="1:11">
      <c r="A3" s="7" t="s">
        <v>10</v>
      </c>
      <c r="B3" s="9">
        <v>2563</v>
      </c>
      <c r="C3" s="8">
        <v>1973</v>
      </c>
      <c r="D3" s="11" t="s">
        <v>11</v>
      </c>
      <c r="E3" s="8">
        <v>18006407</v>
      </c>
      <c r="F3" s="13">
        <v>18726548</v>
      </c>
      <c r="G3" s="9" t="s">
        <v>11</v>
      </c>
      <c r="H3" s="11">
        <v>10.5</v>
      </c>
      <c r="I3" s="9" t="s">
        <v>11</v>
      </c>
      <c r="J3" s="28"/>
      <c r="K3" s="17"/>
    </row>
    <row r="4" spans="1:11">
      <c r="A4" s="7" t="s">
        <v>12</v>
      </c>
      <c r="B4" s="8">
        <v>2938</v>
      </c>
      <c r="C4" s="8">
        <v>2909</v>
      </c>
      <c r="D4" s="11" t="s">
        <v>13</v>
      </c>
      <c r="E4" s="8">
        <v>38005614</v>
      </c>
      <c r="F4" s="13">
        <v>37972812</v>
      </c>
      <c r="G4" s="9">
        <v>7.7</v>
      </c>
      <c r="H4" s="11">
        <v>7.7</v>
      </c>
      <c r="I4" s="9" t="s">
        <v>14</v>
      </c>
      <c r="J4" s="28"/>
      <c r="K4" s="17"/>
    </row>
    <row r="5" spans="1:11">
      <c r="A5" s="7" t="s">
        <v>15</v>
      </c>
      <c r="B5" s="7">
        <v>318</v>
      </c>
      <c r="C5" s="7">
        <v>352</v>
      </c>
      <c r="D5" s="11">
        <v>10.7</v>
      </c>
      <c r="E5" s="8">
        <v>4596700</v>
      </c>
      <c r="F5" s="13">
        <v>4979200</v>
      </c>
      <c r="G5" s="9">
        <v>6.9</v>
      </c>
      <c r="H5" s="11">
        <v>7.1</v>
      </c>
      <c r="I5" s="9">
        <v>2.2000000000000002</v>
      </c>
      <c r="J5" s="28"/>
      <c r="K5" s="17"/>
    </row>
    <row r="6" spans="1:11">
      <c r="A6" s="7" t="s">
        <v>16</v>
      </c>
      <c r="B6" s="7">
        <v>239</v>
      </c>
      <c r="C6" s="7">
        <v>186</v>
      </c>
      <c r="D6" s="11" t="s">
        <v>17</v>
      </c>
      <c r="E6" s="8">
        <v>2921262</v>
      </c>
      <c r="F6" s="13">
        <v>2794184</v>
      </c>
      <c r="G6" s="9">
        <v>8.1999999999999993</v>
      </c>
      <c r="H6" s="11">
        <v>6.7</v>
      </c>
      <c r="I6" s="9" t="s">
        <v>18</v>
      </c>
      <c r="J6" s="28"/>
      <c r="K6" s="17"/>
    </row>
    <row r="7" spans="1:11">
      <c r="A7" s="7" t="s">
        <v>19</v>
      </c>
      <c r="B7" s="8">
        <v>4621</v>
      </c>
      <c r="C7" s="8">
        <v>3349</v>
      </c>
      <c r="D7" s="11" t="s">
        <v>20</v>
      </c>
      <c r="E7" s="8">
        <v>51014947</v>
      </c>
      <c r="F7" s="13">
        <v>51709098</v>
      </c>
      <c r="G7" s="9">
        <v>9.1</v>
      </c>
      <c r="H7" s="11">
        <v>6.5</v>
      </c>
      <c r="I7" s="9" t="s">
        <v>21</v>
      </c>
      <c r="J7" s="28"/>
      <c r="K7" s="17"/>
    </row>
    <row r="8" spans="1:11">
      <c r="A8" s="7" t="s">
        <v>22</v>
      </c>
      <c r="B8" s="7">
        <v>793</v>
      </c>
      <c r="C8" s="7">
        <v>688</v>
      </c>
      <c r="D8" s="11" t="s">
        <v>23</v>
      </c>
      <c r="E8" s="8">
        <v>10858018</v>
      </c>
      <c r="F8" s="13">
        <v>10724599</v>
      </c>
      <c r="G8" s="9">
        <v>7.3</v>
      </c>
      <c r="H8" s="11">
        <v>6.4</v>
      </c>
      <c r="I8" s="9" t="s">
        <v>24</v>
      </c>
      <c r="J8" s="28"/>
      <c r="K8" s="17"/>
    </row>
    <row r="9" spans="1:11">
      <c r="A9" s="7" t="s">
        <v>25</v>
      </c>
      <c r="B9" s="7">
        <v>648</v>
      </c>
      <c r="C9" s="7">
        <v>602</v>
      </c>
      <c r="D9" s="11" t="s">
        <v>26</v>
      </c>
      <c r="E9" s="8">
        <v>9855571</v>
      </c>
      <c r="F9" s="13">
        <v>9772756</v>
      </c>
      <c r="G9" s="9">
        <v>6.6</v>
      </c>
      <c r="H9" s="11">
        <v>6.2</v>
      </c>
      <c r="I9" s="9" t="s">
        <v>27</v>
      </c>
      <c r="J9" s="28"/>
      <c r="K9" s="17"/>
    </row>
    <row r="10" spans="1:11">
      <c r="A10" s="7" t="s">
        <v>28</v>
      </c>
      <c r="B10" s="7">
        <v>593</v>
      </c>
      <c r="C10" s="7">
        <v>621</v>
      </c>
      <c r="D10" s="11">
        <v>4.7</v>
      </c>
      <c r="E10" s="8">
        <v>10374822</v>
      </c>
      <c r="F10" s="13">
        <v>10276617</v>
      </c>
      <c r="G10" s="9">
        <v>5.7</v>
      </c>
      <c r="H10" s="11">
        <v>6</v>
      </c>
      <c r="I10" s="9">
        <v>5.7</v>
      </c>
      <c r="J10" s="28"/>
      <c r="K10" s="17"/>
    </row>
    <row r="11" spans="1:11">
      <c r="A11" s="7" t="s">
        <v>29</v>
      </c>
      <c r="B11" s="7">
        <v>735</v>
      </c>
      <c r="C11" s="7">
        <v>617</v>
      </c>
      <c r="D11" s="11" t="s">
        <v>30</v>
      </c>
      <c r="E11" s="8">
        <v>10538275</v>
      </c>
      <c r="F11" s="13">
        <v>10649800</v>
      </c>
      <c r="G11" s="9">
        <v>7</v>
      </c>
      <c r="H11" s="11">
        <v>5.8</v>
      </c>
      <c r="I11" s="9" t="s">
        <v>31</v>
      </c>
      <c r="J11" s="28"/>
      <c r="K11" s="17"/>
    </row>
    <row r="12" spans="1:11">
      <c r="A12" s="7" t="s">
        <v>32</v>
      </c>
      <c r="B12" s="7">
        <v>762</v>
      </c>
      <c r="C12" s="7">
        <v>644</v>
      </c>
      <c r="D12" s="11" t="s">
        <v>33</v>
      </c>
      <c r="E12" s="8">
        <v>11237274</v>
      </c>
      <c r="F12" s="13">
        <v>11455519</v>
      </c>
      <c r="G12" s="9">
        <v>6.8</v>
      </c>
      <c r="H12" s="11">
        <v>5.6</v>
      </c>
      <c r="I12" s="9" t="s">
        <v>34</v>
      </c>
      <c r="J12" s="28"/>
      <c r="K12" s="17"/>
    </row>
    <row r="13" spans="1:11">
      <c r="A13" s="7" t="s">
        <v>35</v>
      </c>
      <c r="B13" s="8">
        <v>3428</v>
      </c>
      <c r="C13" s="8">
        <v>3173</v>
      </c>
      <c r="D13" s="11" t="s">
        <v>36</v>
      </c>
      <c r="E13" s="8">
        <v>60795612</v>
      </c>
      <c r="F13" s="13">
        <v>60359546</v>
      </c>
      <c r="G13" s="9">
        <v>5.6</v>
      </c>
      <c r="H13" s="11">
        <v>5.3</v>
      </c>
      <c r="I13" s="9" t="s">
        <v>37</v>
      </c>
      <c r="J13" s="28"/>
      <c r="K13" s="17"/>
    </row>
    <row r="14" spans="1:11">
      <c r="A14" s="7" t="s">
        <v>38</v>
      </c>
      <c r="B14" s="8">
        <v>3461</v>
      </c>
      <c r="C14" s="8">
        <v>3244</v>
      </c>
      <c r="D14" s="11" t="s">
        <v>27</v>
      </c>
      <c r="E14" s="8">
        <v>64300821</v>
      </c>
      <c r="F14" s="13">
        <v>64812052</v>
      </c>
      <c r="G14" s="9">
        <v>5.4</v>
      </c>
      <c r="H14" s="11">
        <v>5</v>
      </c>
      <c r="I14" s="9" t="s">
        <v>39</v>
      </c>
      <c r="J14" s="28"/>
      <c r="K14" s="17"/>
    </row>
    <row r="15" spans="1:11">
      <c r="A15" s="7" t="s">
        <v>40</v>
      </c>
      <c r="B15" s="7">
        <v>120</v>
      </c>
      <c r="C15" s="7">
        <v>102</v>
      </c>
      <c r="D15" s="11" t="s">
        <v>41</v>
      </c>
      <c r="E15" s="8">
        <v>2062874</v>
      </c>
      <c r="F15" s="13">
        <v>2080908</v>
      </c>
      <c r="G15" s="9">
        <v>5.8</v>
      </c>
      <c r="H15" s="11">
        <v>4.9000000000000004</v>
      </c>
      <c r="I15" s="9" t="s">
        <v>42</v>
      </c>
      <c r="J15" s="28"/>
      <c r="K15" s="17"/>
    </row>
    <row r="16" spans="1:11">
      <c r="A16" s="7" t="s">
        <v>43</v>
      </c>
      <c r="B16" s="7">
        <v>479</v>
      </c>
      <c r="C16" s="7">
        <v>416</v>
      </c>
      <c r="D16" s="11" t="s">
        <v>23</v>
      </c>
      <c r="E16" s="8">
        <v>8584926</v>
      </c>
      <c r="F16" s="13">
        <v>8858775</v>
      </c>
      <c r="G16" s="9">
        <v>5.6</v>
      </c>
      <c r="H16" s="11">
        <v>4.7</v>
      </c>
      <c r="I16" s="9" t="s">
        <v>44</v>
      </c>
      <c r="J16" s="28"/>
      <c r="K16" s="17"/>
    </row>
    <row r="17" spans="1:11">
      <c r="A17" s="7" t="s">
        <v>45</v>
      </c>
      <c r="B17" s="8">
        <v>1887</v>
      </c>
      <c r="C17" s="8">
        <v>1762</v>
      </c>
      <c r="D17" s="11" t="s">
        <v>46</v>
      </c>
      <c r="E17" s="8">
        <v>35826748</v>
      </c>
      <c r="F17" s="13">
        <v>37593384</v>
      </c>
      <c r="G17" s="9">
        <v>5.3</v>
      </c>
      <c r="H17" s="11">
        <v>4.7</v>
      </c>
      <c r="I17" s="9" t="s">
        <v>47</v>
      </c>
      <c r="J17" s="28"/>
      <c r="K17" s="17"/>
    </row>
    <row r="18" spans="1:11">
      <c r="A18" s="7" t="s">
        <v>48</v>
      </c>
      <c r="B18" s="8">
        <v>1205</v>
      </c>
      <c r="C18" s="8">
        <v>1187</v>
      </c>
      <c r="D18" s="11" t="s">
        <v>49</v>
      </c>
      <c r="E18" s="8">
        <v>23815995</v>
      </c>
      <c r="F18" s="13">
        <v>25365571</v>
      </c>
      <c r="G18" s="9">
        <v>5.0999999999999996</v>
      </c>
      <c r="H18" s="11">
        <v>4.7</v>
      </c>
      <c r="I18" s="9" t="s">
        <v>50</v>
      </c>
      <c r="J18" s="28"/>
      <c r="K18" s="17"/>
    </row>
    <row r="19" spans="1:11">
      <c r="A19" s="7" t="s">
        <v>51</v>
      </c>
      <c r="B19" s="7">
        <v>356</v>
      </c>
      <c r="C19" s="7">
        <v>355</v>
      </c>
      <c r="D19" s="11" t="s">
        <v>52</v>
      </c>
      <c r="E19" s="8">
        <v>8463400</v>
      </c>
      <c r="F19" s="13">
        <v>9054100</v>
      </c>
      <c r="G19" s="9">
        <v>4.2</v>
      </c>
      <c r="H19" s="11">
        <v>3.9</v>
      </c>
      <c r="I19" s="9" t="s">
        <v>37</v>
      </c>
      <c r="J19" s="28"/>
      <c r="K19" s="17"/>
    </row>
    <row r="20" spans="1:11">
      <c r="A20" s="7" t="s">
        <v>53</v>
      </c>
      <c r="B20" s="7">
        <v>621</v>
      </c>
      <c r="C20" s="7">
        <v>661</v>
      </c>
      <c r="D20" s="11">
        <v>6.4</v>
      </c>
      <c r="E20" s="8">
        <v>16900726</v>
      </c>
      <c r="F20" s="13">
        <v>17282163</v>
      </c>
      <c r="G20" s="9">
        <v>3.7</v>
      </c>
      <c r="H20" s="11">
        <v>3.8</v>
      </c>
      <c r="I20" s="9">
        <v>4.0999999999999996</v>
      </c>
      <c r="J20" s="28"/>
      <c r="K20" s="17"/>
    </row>
    <row r="21" spans="1:11">
      <c r="A21" s="7" t="s">
        <v>54</v>
      </c>
      <c r="B21" s="7">
        <v>270</v>
      </c>
      <c r="C21" s="7">
        <v>211</v>
      </c>
      <c r="D21" s="11" t="s">
        <v>55</v>
      </c>
      <c r="E21" s="8">
        <v>5471753</v>
      </c>
      <c r="F21" s="13">
        <v>5517919</v>
      </c>
      <c r="G21" s="9">
        <v>4.9000000000000004</v>
      </c>
      <c r="H21" s="11">
        <v>3.8</v>
      </c>
      <c r="I21" s="9" t="s">
        <v>56</v>
      </c>
      <c r="J21" s="28"/>
      <c r="K21" s="17"/>
    </row>
    <row r="22" spans="1:11">
      <c r="A22" s="7" t="s">
        <v>57</v>
      </c>
      <c r="B22" s="8">
        <v>1689</v>
      </c>
      <c r="C22" s="8">
        <v>1755</v>
      </c>
      <c r="D22" s="11">
        <v>3.9</v>
      </c>
      <c r="E22" s="8">
        <v>46449565</v>
      </c>
      <c r="F22" s="13">
        <v>46937060</v>
      </c>
      <c r="G22" s="9">
        <v>3.6</v>
      </c>
      <c r="H22" s="11">
        <v>3.7</v>
      </c>
      <c r="I22" s="9">
        <v>2.8</v>
      </c>
      <c r="J22" s="28"/>
      <c r="K22" s="17"/>
    </row>
    <row r="23" spans="1:11">
      <c r="A23" s="7" t="s">
        <v>58</v>
      </c>
      <c r="B23" s="8">
        <v>3459</v>
      </c>
      <c r="C23" s="8">
        <v>3046</v>
      </c>
      <c r="D23" s="11" t="s">
        <v>59</v>
      </c>
      <c r="E23" s="8">
        <v>81197537</v>
      </c>
      <c r="F23" s="13">
        <v>83019213</v>
      </c>
      <c r="G23" s="9">
        <v>4.3</v>
      </c>
      <c r="H23" s="11">
        <v>3.7</v>
      </c>
      <c r="I23" s="9" t="s">
        <v>60</v>
      </c>
      <c r="J23" s="28"/>
      <c r="K23" s="17"/>
    </row>
    <row r="24" spans="1:11">
      <c r="A24" s="7" t="s">
        <v>61</v>
      </c>
      <c r="B24" s="7">
        <v>178</v>
      </c>
      <c r="C24" s="7">
        <v>199</v>
      </c>
      <c r="D24" s="11">
        <v>11.8</v>
      </c>
      <c r="E24" s="8">
        <v>5659715</v>
      </c>
      <c r="F24" s="13">
        <v>5806081</v>
      </c>
      <c r="G24" s="9">
        <v>3.1</v>
      </c>
      <c r="H24" s="11">
        <v>3.4</v>
      </c>
      <c r="I24" s="9">
        <v>9</v>
      </c>
      <c r="J24" s="28"/>
      <c r="K24" s="17"/>
    </row>
    <row r="25" spans="1:11">
      <c r="A25" s="7" t="s">
        <v>62</v>
      </c>
      <c r="B25" s="8">
        <v>4885</v>
      </c>
      <c r="C25" s="8">
        <v>3920</v>
      </c>
      <c r="D25" s="11" t="s">
        <v>63</v>
      </c>
      <c r="E25" s="8">
        <v>127095000</v>
      </c>
      <c r="F25" s="13">
        <v>126167000</v>
      </c>
      <c r="G25" s="9">
        <v>3.8</v>
      </c>
      <c r="H25" s="11">
        <v>3.1</v>
      </c>
      <c r="I25" s="9" t="s">
        <v>64</v>
      </c>
      <c r="J25" s="28"/>
      <c r="K25" s="17"/>
    </row>
    <row r="26" spans="1:11">
      <c r="A26" s="7" t="s">
        <v>65</v>
      </c>
      <c r="B26" s="7">
        <v>162</v>
      </c>
      <c r="C26" s="7">
        <v>140</v>
      </c>
      <c r="D26" s="11" t="s">
        <v>66</v>
      </c>
      <c r="E26" s="8">
        <v>4677627</v>
      </c>
      <c r="F26" s="13">
        <v>4904240</v>
      </c>
      <c r="G26" s="9">
        <v>3.5</v>
      </c>
      <c r="H26" s="11">
        <v>2.9</v>
      </c>
      <c r="I26" s="9" t="s">
        <v>67</v>
      </c>
      <c r="J26" s="28"/>
      <c r="K26" s="17"/>
    </row>
    <row r="27" spans="1:11">
      <c r="A27" s="7" t="s">
        <v>68</v>
      </c>
      <c r="B27" s="8">
        <v>1804</v>
      </c>
      <c r="C27" s="8">
        <v>1808</v>
      </c>
      <c r="D27" s="11">
        <v>0.2</v>
      </c>
      <c r="E27" s="8">
        <v>65110034</v>
      </c>
      <c r="F27" s="13">
        <v>66796807</v>
      </c>
      <c r="G27" s="9">
        <v>2.8</v>
      </c>
      <c r="H27" s="11">
        <v>2.7</v>
      </c>
      <c r="I27" s="9" t="s">
        <v>69</v>
      </c>
      <c r="J27" s="28"/>
      <c r="K27" s="17"/>
    </row>
    <row r="28" spans="1:11">
      <c r="A28" s="7" t="s">
        <v>70</v>
      </c>
      <c r="B28" s="7">
        <v>253</v>
      </c>
      <c r="C28" s="7">
        <v>187</v>
      </c>
      <c r="D28" s="11" t="s">
        <v>71</v>
      </c>
      <c r="E28" s="8">
        <v>8237666</v>
      </c>
      <c r="F28" s="13">
        <v>8544527</v>
      </c>
      <c r="G28" s="9">
        <v>3.1</v>
      </c>
      <c r="H28" s="11">
        <v>2.2000000000000002</v>
      </c>
      <c r="I28" s="9" t="s">
        <v>72</v>
      </c>
      <c r="J28" s="28"/>
      <c r="K28" s="17"/>
    </row>
    <row r="29" spans="1:11">
      <c r="A29" s="7" t="s">
        <v>73</v>
      </c>
      <c r="B29" s="7">
        <v>259</v>
      </c>
      <c r="C29" s="7">
        <v>221</v>
      </c>
      <c r="D29" s="11" t="s">
        <v>74</v>
      </c>
      <c r="E29" s="8">
        <v>9747355</v>
      </c>
      <c r="F29" s="13">
        <v>10230185</v>
      </c>
      <c r="G29" s="9">
        <v>2.7</v>
      </c>
      <c r="H29" s="11">
        <v>2.2000000000000002</v>
      </c>
      <c r="I29" s="9" t="s">
        <v>75</v>
      </c>
      <c r="J29" s="28"/>
      <c r="K29" s="17"/>
    </row>
    <row r="30" spans="1:11">
      <c r="A30" s="7" t="s">
        <v>76</v>
      </c>
      <c r="B30" s="7">
        <v>117</v>
      </c>
      <c r="C30" s="7">
        <v>108</v>
      </c>
      <c r="D30" s="11" t="s">
        <v>77</v>
      </c>
      <c r="E30" s="8">
        <v>5165802</v>
      </c>
      <c r="F30" s="13">
        <v>5328212</v>
      </c>
      <c r="G30" s="9">
        <v>2.2999999999999998</v>
      </c>
      <c r="H30" s="11">
        <v>2</v>
      </c>
      <c r="I30" s="9" t="s">
        <v>78</v>
      </c>
      <c r="J30" s="28"/>
      <c r="K30" s="17"/>
    </row>
    <row r="31" spans="1:11">
      <c r="B31" s="14"/>
      <c r="C31" s="14"/>
      <c r="D31" s="14"/>
      <c r="E31" s="14"/>
      <c r="F31" s="14"/>
    </row>
    <row r="32" spans="1:11">
      <c r="B32" s="14"/>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003EB-6F4F-4DD8-B6AD-5D08C2D45D32}">
  <sheetPr codeName="Sheet5"/>
  <dimension ref="A1:AG31"/>
  <sheetViews>
    <sheetView workbookViewId="0">
      <selection activeCell="D20" sqref="D20"/>
    </sheetView>
  </sheetViews>
  <sheetFormatPr defaultRowHeight="12.75"/>
  <cols>
    <col min="1" max="1" width="14.28515625" bestFit="1" customWidth="1"/>
    <col min="2" max="2" width="23.85546875" bestFit="1" customWidth="1"/>
    <col min="3" max="3" width="23.42578125" bestFit="1" customWidth="1"/>
    <col min="4" max="4" width="23.85546875" bestFit="1" customWidth="1"/>
    <col min="5" max="5" width="14.28515625" bestFit="1" customWidth="1"/>
    <col min="6" max="6" width="23.85546875" bestFit="1" customWidth="1"/>
    <col min="7" max="7" width="23.42578125" bestFit="1" customWidth="1"/>
    <col min="9" max="9" width="14.28515625" bestFit="1" customWidth="1"/>
    <col min="10" max="10" width="23.85546875" bestFit="1" customWidth="1"/>
    <col min="11" max="11" width="36.7109375" bestFit="1" customWidth="1"/>
    <col min="12" max="15" width="3.5703125" bestFit="1" customWidth="1"/>
    <col min="16" max="16" width="14.28515625" bestFit="1" customWidth="1"/>
    <col min="17" max="17" width="23.85546875" bestFit="1" customWidth="1"/>
    <col min="18" max="18" width="38" bestFit="1" customWidth="1"/>
    <col min="19" max="19" width="4" bestFit="1" customWidth="1"/>
    <col min="20" max="20" width="5" bestFit="1" customWidth="1"/>
    <col min="21" max="22" width="4" bestFit="1" customWidth="1"/>
    <col min="23" max="23" width="5" bestFit="1" customWidth="1"/>
    <col min="24" max="24" width="4" bestFit="1" customWidth="1"/>
    <col min="25" max="25" width="14.28515625" bestFit="1" customWidth="1"/>
    <col min="26" max="27" width="23.85546875" bestFit="1" customWidth="1"/>
    <col min="28" max="29" width="23.42578125" bestFit="1" customWidth="1"/>
    <col min="30" max="30" width="36.7109375" bestFit="1" customWidth="1"/>
    <col min="31" max="32" width="23.85546875" bestFit="1" customWidth="1"/>
    <col min="33" max="39" width="4" bestFit="1" customWidth="1"/>
    <col min="40" max="40" width="5" bestFit="1" customWidth="1"/>
    <col min="41" max="41" width="4" bestFit="1" customWidth="1"/>
    <col min="42" max="43" width="5" bestFit="1" customWidth="1"/>
    <col min="44" max="44" width="11.7109375" bestFit="1" customWidth="1"/>
    <col min="45" max="45" width="5.5703125" bestFit="1" customWidth="1"/>
    <col min="46" max="46" width="11.7109375" bestFit="1" customWidth="1"/>
  </cols>
  <sheetData>
    <row r="1" spans="1:33">
      <c r="A1" s="27" t="s">
        <v>164</v>
      </c>
      <c r="B1" t="s">
        <v>166</v>
      </c>
      <c r="C1" t="s">
        <v>168</v>
      </c>
      <c r="E1" s="27" t="s">
        <v>164</v>
      </c>
      <c r="F1" t="s">
        <v>167</v>
      </c>
      <c r="G1" t="s">
        <v>169</v>
      </c>
      <c r="I1" s="27" t="s">
        <v>164</v>
      </c>
      <c r="J1" t="s">
        <v>167</v>
      </c>
      <c r="K1" t="s">
        <v>171</v>
      </c>
      <c r="P1" s="27" t="s">
        <v>164</v>
      </c>
      <c r="Q1" t="s">
        <v>166</v>
      </c>
      <c r="R1" t="s">
        <v>170</v>
      </c>
      <c r="Y1" s="27" t="s">
        <v>164</v>
      </c>
      <c r="Z1" t="s">
        <v>166</v>
      </c>
      <c r="AA1" t="s">
        <v>167</v>
      </c>
      <c r="AB1" t="s">
        <v>168</v>
      </c>
      <c r="AC1" t="s">
        <v>169</v>
      </c>
      <c r="AE1" s="18"/>
      <c r="AF1" s="19"/>
      <c r="AG1" s="20"/>
    </row>
    <row r="2" spans="1:33">
      <c r="A2" s="16" t="s">
        <v>48</v>
      </c>
      <c r="B2">
        <v>1205</v>
      </c>
      <c r="C2">
        <v>23815995</v>
      </c>
      <c r="E2" s="16" t="s">
        <v>48</v>
      </c>
      <c r="F2">
        <v>1187</v>
      </c>
      <c r="G2">
        <v>25365571</v>
      </c>
      <c r="I2" s="16" t="s">
        <v>48</v>
      </c>
      <c r="J2">
        <v>1187</v>
      </c>
      <c r="K2">
        <v>4.7</v>
      </c>
      <c r="P2" s="16" t="s">
        <v>48</v>
      </c>
      <c r="Q2">
        <v>1205</v>
      </c>
      <c r="R2">
        <v>1</v>
      </c>
      <c r="Y2" s="16" t="s">
        <v>48</v>
      </c>
      <c r="Z2">
        <v>1205</v>
      </c>
      <c r="AA2">
        <v>1187</v>
      </c>
      <c r="AB2">
        <v>23815995</v>
      </c>
      <c r="AC2">
        <v>25365571</v>
      </c>
      <c r="AE2" s="21"/>
      <c r="AF2" s="22"/>
      <c r="AG2" s="23"/>
    </row>
    <row r="3" spans="1:33">
      <c r="A3" s="16" t="s">
        <v>43</v>
      </c>
      <c r="B3">
        <v>479</v>
      </c>
      <c r="C3">
        <v>8584926</v>
      </c>
      <c r="E3" s="16" t="s">
        <v>43</v>
      </c>
      <c r="F3">
        <v>416</v>
      </c>
      <c r="G3">
        <v>8858775</v>
      </c>
      <c r="I3" s="16" t="s">
        <v>43</v>
      </c>
      <c r="J3">
        <v>416</v>
      </c>
      <c r="K3">
        <v>4.7</v>
      </c>
      <c r="P3" s="16" t="s">
        <v>43</v>
      </c>
      <c r="Q3">
        <v>479</v>
      </c>
      <c r="R3">
        <v>1</v>
      </c>
      <c r="Y3" s="16" t="s">
        <v>43</v>
      </c>
      <c r="Z3">
        <v>479</v>
      </c>
      <c r="AA3">
        <v>416</v>
      </c>
      <c r="AB3">
        <v>8584926</v>
      </c>
      <c r="AC3">
        <v>8858775</v>
      </c>
      <c r="AE3" s="21"/>
      <c r="AF3" s="22"/>
      <c r="AG3" s="23"/>
    </row>
    <row r="4" spans="1:33">
      <c r="A4" s="16" t="s">
        <v>32</v>
      </c>
      <c r="B4">
        <v>762</v>
      </c>
      <c r="C4">
        <v>11237274</v>
      </c>
      <c r="E4" s="16" t="s">
        <v>32</v>
      </c>
      <c r="F4">
        <v>644</v>
      </c>
      <c r="G4">
        <v>11455519</v>
      </c>
      <c r="I4" s="16" t="s">
        <v>32</v>
      </c>
      <c r="J4">
        <v>644</v>
      </c>
      <c r="K4">
        <v>5.6</v>
      </c>
      <c r="P4" s="16" t="s">
        <v>32</v>
      </c>
      <c r="Q4">
        <v>762</v>
      </c>
      <c r="R4">
        <v>1</v>
      </c>
      <c r="Y4" s="16" t="s">
        <v>32</v>
      </c>
      <c r="Z4">
        <v>762</v>
      </c>
      <c r="AA4">
        <v>644</v>
      </c>
      <c r="AB4">
        <v>11237274</v>
      </c>
      <c r="AC4">
        <v>11455519</v>
      </c>
      <c r="AE4" s="21"/>
      <c r="AF4" s="22"/>
      <c r="AG4" s="23"/>
    </row>
    <row r="5" spans="1:33">
      <c r="A5" s="16" t="s">
        <v>45</v>
      </c>
      <c r="B5">
        <v>1887</v>
      </c>
      <c r="C5">
        <v>35826748</v>
      </c>
      <c r="E5" s="16" t="s">
        <v>45</v>
      </c>
      <c r="F5">
        <v>1762</v>
      </c>
      <c r="G5">
        <v>37593384</v>
      </c>
      <c r="I5" s="16" t="s">
        <v>45</v>
      </c>
      <c r="J5">
        <v>1762</v>
      </c>
      <c r="K5">
        <v>4.7</v>
      </c>
      <c r="P5" s="16" t="s">
        <v>45</v>
      </c>
      <c r="Q5">
        <v>1887</v>
      </c>
      <c r="R5">
        <v>1</v>
      </c>
      <c r="Y5" s="16" t="s">
        <v>45</v>
      </c>
      <c r="Z5">
        <v>1887</v>
      </c>
      <c r="AA5">
        <v>1762</v>
      </c>
      <c r="AB5">
        <v>35826748</v>
      </c>
      <c r="AC5">
        <v>37593384</v>
      </c>
      <c r="AE5" s="21"/>
      <c r="AF5" s="22"/>
      <c r="AG5" s="23"/>
    </row>
    <row r="6" spans="1:33">
      <c r="A6" s="16" t="s">
        <v>10</v>
      </c>
      <c r="B6">
        <v>2563</v>
      </c>
      <c r="C6">
        <v>18006407</v>
      </c>
      <c r="E6" s="16" t="s">
        <v>10</v>
      </c>
      <c r="F6">
        <v>1973</v>
      </c>
      <c r="G6">
        <v>18726548</v>
      </c>
      <c r="I6" s="16" t="s">
        <v>10</v>
      </c>
      <c r="J6">
        <v>1973</v>
      </c>
      <c r="K6">
        <v>10.5</v>
      </c>
      <c r="P6" s="16" t="s">
        <v>10</v>
      </c>
      <c r="Q6">
        <v>2563</v>
      </c>
      <c r="R6">
        <v>1</v>
      </c>
      <c r="Y6" s="16" t="s">
        <v>10</v>
      </c>
      <c r="Z6">
        <v>2563</v>
      </c>
      <c r="AA6">
        <v>1973</v>
      </c>
      <c r="AB6">
        <v>18006407</v>
      </c>
      <c r="AC6">
        <v>18726548</v>
      </c>
      <c r="AE6" s="21"/>
      <c r="AF6" s="22"/>
      <c r="AG6" s="23"/>
    </row>
    <row r="7" spans="1:33">
      <c r="A7" s="16" t="s">
        <v>29</v>
      </c>
      <c r="B7">
        <v>735</v>
      </c>
      <c r="C7">
        <v>10538275</v>
      </c>
      <c r="E7" s="16" t="s">
        <v>29</v>
      </c>
      <c r="F7">
        <v>617</v>
      </c>
      <c r="G7">
        <v>10649800</v>
      </c>
      <c r="I7" s="16" t="s">
        <v>29</v>
      </c>
      <c r="J7">
        <v>617</v>
      </c>
      <c r="K7">
        <v>5.8</v>
      </c>
      <c r="P7" s="16" t="s">
        <v>29</v>
      </c>
      <c r="Q7">
        <v>735</v>
      </c>
      <c r="R7">
        <v>1</v>
      </c>
      <c r="Y7" s="16" t="s">
        <v>29</v>
      </c>
      <c r="Z7">
        <v>735</v>
      </c>
      <c r="AA7">
        <v>617</v>
      </c>
      <c r="AB7">
        <v>10538275</v>
      </c>
      <c r="AC7">
        <v>10649800</v>
      </c>
      <c r="AE7" s="21"/>
      <c r="AF7" s="22"/>
      <c r="AG7" s="23"/>
    </row>
    <row r="8" spans="1:33">
      <c r="A8" s="16" t="s">
        <v>61</v>
      </c>
      <c r="B8">
        <v>178</v>
      </c>
      <c r="C8">
        <v>5659715</v>
      </c>
      <c r="E8" s="16" t="s">
        <v>61</v>
      </c>
      <c r="F8">
        <v>199</v>
      </c>
      <c r="G8">
        <v>5806081</v>
      </c>
      <c r="I8" s="16" t="s">
        <v>61</v>
      </c>
      <c r="J8">
        <v>199</v>
      </c>
      <c r="K8">
        <v>3.4</v>
      </c>
      <c r="P8" s="16" t="s">
        <v>61</v>
      </c>
      <c r="Q8">
        <v>178</v>
      </c>
      <c r="R8">
        <v>1</v>
      </c>
      <c r="Y8" s="16" t="s">
        <v>61</v>
      </c>
      <c r="Z8">
        <v>178</v>
      </c>
      <c r="AA8">
        <v>199</v>
      </c>
      <c r="AB8">
        <v>5659715</v>
      </c>
      <c r="AC8">
        <v>5806081</v>
      </c>
      <c r="AE8" s="21"/>
      <c r="AF8" s="22"/>
      <c r="AG8" s="23"/>
    </row>
    <row r="9" spans="1:33">
      <c r="A9" s="16" t="s">
        <v>54</v>
      </c>
      <c r="B9">
        <v>270</v>
      </c>
      <c r="C9">
        <v>5471753</v>
      </c>
      <c r="E9" s="16" t="s">
        <v>54</v>
      </c>
      <c r="F9">
        <v>211</v>
      </c>
      <c r="G9">
        <v>5517919</v>
      </c>
      <c r="I9" s="16" t="s">
        <v>54</v>
      </c>
      <c r="J9">
        <v>211</v>
      </c>
      <c r="K9">
        <v>3.8</v>
      </c>
      <c r="P9" s="16" t="s">
        <v>54</v>
      </c>
      <c r="Q9">
        <v>270</v>
      </c>
      <c r="R9">
        <v>1</v>
      </c>
      <c r="Y9" s="16" t="s">
        <v>54</v>
      </c>
      <c r="Z9">
        <v>270</v>
      </c>
      <c r="AA9">
        <v>211</v>
      </c>
      <c r="AB9">
        <v>5471753</v>
      </c>
      <c r="AC9">
        <v>5517919</v>
      </c>
      <c r="AE9" s="21"/>
      <c r="AF9" s="22"/>
      <c r="AG9" s="23"/>
    </row>
    <row r="10" spans="1:33">
      <c r="A10" s="16" t="s">
        <v>38</v>
      </c>
      <c r="B10">
        <v>3461</v>
      </c>
      <c r="C10">
        <v>64300821</v>
      </c>
      <c r="E10" s="16" t="s">
        <v>38</v>
      </c>
      <c r="F10">
        <v>3244</v>
      </c>
      <c r="G10">
        <v>64812052</v>
      </c>
      <c r="I10" s="16" t="s">
        <v>38</v>
      </c>
      <c r="J10">
        <v>3244</v>
      </c>
      <c r="K10">
        <v>5</v>
      </c>
      <c r="P10" s="16" t="s">
        <v>38</v>
      </c>
      <c r="Q10">
        <v>3461</v>
      </c>
      <c r="R10">
        <v>1</v>
      </c>
      <c r="Y10" s="16" t="s">
        <v>38</v>
      </c>
      <c r="Z10">
        <v>3461</v>
      </c>
      <c r="AA10">
        <v>3244</v>
      </c>
      <c r="AB10">
        <v>64300821</v>
      </c>
      <c r="AC10">
        <v>64812052</v>
      </c>
      <c r="AE10" s="21"/>
      <c r="AF10" s="22"/>
      <c r="AG10" s="23"/>
    </row>
    <row r="11" spans="1:33">
      <c r="A11" s="16" t="s">
        <v>58</v>
      </c>
      <c r="B11">
        <v>3459</v>
      </c>
      <c r="C11">
        <v>81197537</v>
      </c>
      <c r="E11" s="16" t="s">
        <v>58</v>
      </c>
      <c r="F11">
        <v>3046</v>
      </c>
      <c r="G11">
        <v>83019213</v>
      </c>
      <c r="I11" s="16" t="s">
        <v>58</v>
      </c>
      <c r="J11">
        <v>3046</v>
      </c>
      <c r="K11">
        <v>3.7</v>
      </c>
      <c r="P11" s="16" t="s">
        <v>58</v>
      </c>
      <c r="Q11">
        <v>3459</v>
      </c>
      <c r="R11">
        <v>1</v>
      </c>
      <c r="Y11" s="16" t="s">
        <v>58</v>
      </c>
      <c r="Z11">
        <v>3459</v>
      </c>
      <c r="AA11">
        <v>3046</v>
      </c>
      <c r="AB11">
        <v>81197537</v>
      </c>
      <c r="AC11">
        <v>83019213</v>
      </c>
      <c r="AE11" s="21"/>
      <c r="AF11" s="22"/>
      <c r="AG11" s="23"/>
    </row>
    <row r="12" spans="1:33">
      <c r="A12" s="16" t="s">
        <v>22</v>
      </c>
      <c r="B12">
        <v>793</v>
      </c>
      <c r="C12">
        <v>10858018</v>
      </c>
      <c r="E12" s="16" t="s">
        <v>22</v>
      </c>
      <c r="F12">
        <v>688</v>
      </c>
      <c r="G12">
        <v>10724599</v>
      </c>
      <c r="I12" s="16" t="s">
        <v>22</v>
      </c>
      <c r="J12">
        <v>688</v>
      </c>
      <c r="K12">
        <v>6.4</v>
      </c>
      <c r="P12" s="16" t="s">
        <v>22</v>
      </c>
      <c r="Q12">
        <v>793</v>
      </c>
      <c r="R12">
        <v>1</v>
      </c>
      <c r="Y12" s="16" t="s">
        <v>22</v>
      </c>
      <c r="Z12">
        <v>793</v>
      </c>
      <c r="AA12">
        <v>688</v>
      </c>
      <c r="AB12">
        <v>10858018</v>
      </c>
      <c r="AC12">
        <v>10724599</v>
      </c>
      <c r="AE12" s="21"/>
      <c r="AF12" s="22"/>
      <c r="AG12" s="23"/>
    </row>
    <row r="13" spans="1:33">
      <c r="A13" s="16" t="s">
        <v>25</v>
      </c>
      <c r="B13">
        <v>648</v>
      </c>
      <c r="C13">
        <v>9855571</v>
      </c>
      <c r="E13" s="16" t="s">
        <v>25</v>
      </c>
      <c r="F13">
        <v>602</v>
      </c>
      <c r="G13">
        <v>9772756</v>
      </c>
      <c r="I13" s="16" t="s">
        <v>25</v>
      </c>
      <c r="J13">
        <v>602</v>
      </c>
      <c r="K13">
        <v>6.2</v>
      </c>
      <c r="P13" s="16" t="s">
        <v>25</v>
      </c>
      <c r="Q13">
        <v>648</v>
      </c>
      <c r="R13">
        <v>1</v>
      </c>
      <c r="Y13" s="16" t="s">
        <v>25</v>
      </c>
      <c r="Z13">
        <v>648</v>
      </c>
      <c r="AA13">
        <v>602</v>
      </c>
      <c r="AB13">
        <v>9855571</v>
      </c>
      <c r="AC13">
        <v>9772756</v>
      </c>
      <c r="AE13" s="21"/>
      <c r="AF13" s="22"/>
      <c r="AG13" s="23"/>
    </row>
    <row r="14" spans="1:33">
      <c r="A14" s="16" t="s">
        <v>65</v>
      </c>
      <c r="B14">
        <v>162</v>
      </c>
      <c r="C14">
        <v>4677627</v>
      </c>
      <c r="E14" s="16" t="s">
        <v>65</v>
      </c>
      <c r="F14">
        <v>140</v>
      </c>
      <c r="G14">
        <v>4904240</v>
      </c>
      <c r="I14" s="16" t="s">
        <v>65</v>
      </c>
      <c r="J14">
        <v>140</v>
      </c>
      <c r="K14">
        <v>2.9</v>
      </c>
      <c r="P14" s="16" t="s">
        <v>65</v>
      </c>
      <c r="Q14">
        <v>162</v>
      </c>
      <c r="R14">
        <v>1</v>
      </c>
      <c r="Y14" s="16" t="s">
        <v>65</v>
      </c>
      <c r="Z14">
        <v>162</v>
      </c>
      <c r="AA14">
        <v>140</v>
      </c>
      <c r="AB14">
        <v>4677627</v>
      </c>
      <c r="AC14">
        <v>4904240</v>
      </c>
      <c r="AE14" s="21"/>
      <c r="AF14" s="22"/>
      <c r="AG14" s="23"/>
    </row>
    <row r="15" spans="1:33">
      <c r="A15" s="16" t="s">
        <v>51</v>
      </c>
      <c r="B15">
        <v>356</v>
      </c>
      <c r="C15">
        <v>8463400</v>
      </c>
      <c r="E15" s="16" t="s">
        <v>51</v>
      </c>
      <c r="F15">
        <v>355</v>
      </c>
      <c r="G15">
        <v>9054100</v>
      </c>
      <c r="I15" s="16" t="s">
        <v>51</v>
      </c>
      <c r="J15">
        <v>355</v>
      </c>
      <c r="K15">
        <v>3.9</v>
      </c>
      <c r="P15" s="16" t="s">
        <v>51</v>
      </c>
      <c r="Q15">
        <v>356</v>
      </c>
      <c r="R15">
        <v>1</v>
      </c>
      <c r="Y15" s="16" t="s">
        <v>51</v>
      </c>
      <c r="Z15">
        <v>356</v>
      </c>
      <c r="AA15">
        <v>355</v>
      </c>
      <c r="AB15">
        <v>8463400</v>
      </c>
      <c r="AC15">
        <v>9054100</v>
      </c>
      <c r="AE15" s="21"/>
      <c r="AF15" s="22"/>
      <c r="AG15" s="23"/>
    </row>
    <row r="16" spans="1:33">
      <c r="A16" s="16" t="s">
        <v>35</v>
      </c>
      <c r="B16">
        <v>3428</v>
      </c>
      <c r="C16">
        <v>60795612</v>
      </c>
      <c r="E16" s="16" t="s">
        <v>35</v>
      </c>
      <c r="F16">
        <v>3173</v>
      </c>
      <c r="G16">
        <v>60359546</v>
      </c>
      <c r="I16" s="16" t="s">
        <v>35</v>
      </c>
      <c r="J16">
        <v>3173</v>
      </c>
      <c r="K16">
        <v>5.3</v>
      </c>
      <c r="P16" s="16" t="s">
        <v>35</v>
      </c>
      <c r="Q16">
        <v>3428</v>
      </c>
      <c r="R16">
        <v>1</v>
      </c>
      <c r="Y16" s="16" t="s">
        <v>35</v>
      </c>
      <c r="Z16">
        <v>3428</v>
      </c>
      <c r="AA16">
        <v>3173</v>
      </c>
      <c r="AB16">
        <v>60795612</v>
      </c>
      <c r="AC16">
        <v>60359546</v>
      </c>
      <c r="AE16" s="21"/>
      <c r="AF16" s="22"/>
      <c r="AG16" s="23"/>
    </row>
    <row r="17" spans="1:33">
      <c r="A17" s="16" t="s">
        <v>62</v>
      </c>
      <c r="B17">
        <v>4885</v>
      </c>
      <c r="C17">
        <v>127095000</v>
      </c>
      <c r="E17" s="16" t="s">
        <v>62</v>
      </c>
      <c r="F17">
        <v>3920</v>
      </c>
      <c r="G17">
        <v>126167000</v>
      </c>
      <c r="I17" s="16" t="s">
        <v>62</v>
      </c>
      <c r="J17">
        <v>3920</v>
      </c>
      <c r="K17">
        <v>3.1</v>
      </c>
      <c r="P17" s="16" t="s">
        <v>62</v>
      </c>
      <c r="Q17">
        <v>4885</v>
      </c>
      <c r="R17">
        <v>1</v>
      </c>
      <c r="Y17" s="16" t="s">
        <v>62</v>
      </c>
      <c r="Z17">
        <v>4885</v>
      </c>
      <c r="AA17">
        <v>3920</v>
      </c>
      <c r="AB17">
        <v>127095000</v>
      </c>
      <c r="AC17">
        <v>126167000</v>
      </c>
      <c r="AE17" s="21"/>
      <c r="AF17" s="22"/>
      <c r="AG17" s="23"/>
    </row>
    <row r="18" spans="1:33">
      <c r="A18" s="16" t="s">
        <v>16</v>
      </c>
      <c r="B18">
        <v>239</v>
      </c>
      <c r="C18">
        <v>2921262</v>
      </c>
      <c r="E18" s="16" t="s">
        <v>16</v>
      </c>
      <c r="F18">
        <v>186</v>
      </c>
      <c r="G18">
        <v>2794184</v>
      </c>
      <c r="I18" s="16" t="s">
        <v>16</v>
      </c>
      <c r="J18">
        <v>186</v>
      </c>
      <c r="K18">
        <v>6.7</v>
      </c>
      <c r="P18" s="16" t="s">
        <v>16</v>
      </c>
      <c r="Q18">
        <v>239</v>
      </c>
      <c r="R18">
        <v>1</v>
      </c>
      <c r="Y18" s="16" t="s">
        <v>16</v>
      </c>
      <c r="Z18">
        <v>239</v>
      </c>
      <c r="AA18">
        <v>186</v>
      </c>
      <c r="AB18">
        <v>2921262</v>
      </c>
      <c r="AC18">
        <v>2794184</v>
      </c>
      <c r="AE18" s="24"/>
      <c r="AF18" s="25"/>
      <c r="AG18" s="26"/>
    </row>
    <row r="19" spans="1:33">
      <c r="A19" s="16" t="s">
        <v>53</v>
      </c>
      <c r="B19">
        <v>621</v>
      </c>
      <c r="C19">
        <v>16900726</v>
      </c>
      <c r="E19" s="16" t="s">
        <v>53</v>
      </c>
      <c r="F19">
        <v>661</v>
      </c>
      <c r="G19">
        <v>17282163</v>
      </c>
      <c r="I19" s="16" t="s">
        <v>53</v>
      </c>
      <c r="J19">
        <v>661</v>
      </c>
      <c r="K19">
        <v>3.8</v>
      </c>
      <c r="P19" s="16" t="s">
        <v>53</v>
      </c>
      <c r="Q19">
        <v>621</v>
      </c>
      <c r="R19">
        <v>1</v>
      </c>
      <c r="Y19" s="16" t="s">
        <v>53</v>
      </c>
      <c r="Z19">
        <v>621</v>
      </c>
      <c r="AA19">
        <v>661</v>
      </c>
      <c r="AB19">
        <v>16900726</v>
      </c>
      <c r="AC19">
        <v>17282163</v>
      </c>
    </row>
    <row r="20" spans="1:33">
      <c r="A20" s="16" t="s">
        <v>15</v>
      </c>
      <c r="B20">
        <v>318</v>
      </c>
      <c r="C20">
        <v>4596700</v>
      </c>
      <c r="E20" s="16" t="s">
        <v>15</v>
      </c>
      <c r="F20">
        <v>352</v>
      </c>
      <c r="G20">
        <v>4979200</v>
      </c>
      <c r="I20" s="16" t="s">
        <v>15</v>
      </c>
      <c r="J20">
        <v>352</v>
      </c>
      <c r="K20">
        <v>7.1</v>
      </c>
      <c r="P20" s="16" t="s">
        <v>15</v>
      </c>
      <c r="Q20">
        <v>318</v>
      </c>
      <c r="R20">
        <v>1</v>
      </c>
      <c r="Y20" s="16" t="s">
        <v>15</v>
      </c>
      <c r="Z20">
        <v>318</v>
      </c>
      <c r="AA20">
        <v>352</v>
      </c>
      <c r="AB20">
        <v>4596700</v>
      </c>
      <c r="AC20">
        <v>4979200</v>
      </c>
    </row>
    <row r="21" spans="1:33">
      <c r="A21" s="16" t="s">
        <v>76</v>
      </c>
      <c r="B21">
        <v>117</v>
      </c>
      <c r="C21">
        <v>5165802</v>
      </c>
      <c r="E21" s="16" t="s">
        <v>76</v>
      </c>
      <c r="F21">
        <v>108</v>
      </c>
      <c r="G21">
        <v>5328212</v>
      </c>
      <c r="I21" s="16" t="s">
        <v>76</v>
      </c>
      <c r="J21">
        <v>108</v>
      </c>
      <c r="K21">
        <v>2</v>
      </c>
      <c r="P21" s="16" t="s">
        <v>76</v>
      </c>
      <c r="Q21">
        <v>117</v>
      </c>
      <c r="R21">
        <v>1</v>
      </c>
      <c r="Y21" s="16" t="s">
        <v>76</v>
      </c>
      <c r="Z21">
        <v>117</v>
      </c>
      <c r="AA21">
        <v>108</v>
      </c>
      <c r="AB21">
        <v>5165802</v>
      </c>
      <c r="AC21">
        <v>5328212</v>
      </c>
    </row>
    <row r="22" spans="1:33">
      <c r="A22" s="16" t="s">
        <v>12</v>
      </c>
      <c r="B22">
        <v>2938</v>
      </c>
      <c r="C22">
        <v>38005614</v>
      </c>
      <c r="E22" s="16" t="s">
        <v>12</v>
      </c>
      <c r="F22">
        <v>2909</v>
      </c>
      <c r="G22">
        <v>37972812</v>
      </c>
      <c r="I22" s="16" t="s">
        <v>12</v>
      </c>
      <c r="J22">
        <v>2909</v>
      </c>
      <c r="K22">
        <v>7.7</v>
      </c>
      <c r="P22" s="16" t="s">
        <v>12</v>
      </c>
      <c r="Q22">
        <v>2938</v>
      </c>
      <c r="R22">
        <v>1</v>
      </c>
      <c r="Y22" s="16" t="s">
        <v>12</v>
      </c>
      <c r="Z22">
        <v>2938</v>
      </c>
      <c r="AA22">
        <v>2909</v>
      </c>
      <c r="AB22">
        <v>38005614</v>
      </c>
      <c r="AC22">
        <v>37972812</v>
      </c>
    </row>
    <row r="23" spans="1:33">
      <c r="A23" s="16" t="s">
        <v>28</v>
      </c>
      <c r="B23">
        <v>593</v>
      </c>
      <c r="C23">
        <v>10374822</v>
      </c>
      <c r="E23" s="16" t="s">
        <v>28</v>
      </c>
      <c r="F23">
        <v>621</v>
      </c>
      <c r="G23">
        <v>10276617</v>
      </c>
      <c r="I23" s="16" t="s">
        <v>28</v>
      </c>
      <c r="J23">
        <v>621</v>
      </c>
      <c r="K23">
        <v>6</v>
      </c>
      <c r="P23" s="16" t="s">
        <v>28</v>
      </c>
      <c r="Q23">
        <v>593</v>
      </c>
      <c r="R23">
        <v>1</v>
      </c>
      <c r="Y23" s="16" t="s">
        <v>28</v>
      </c>
      <c r="Z23">
        <v>593</v>
      </c>
      <c r="AA23">
        <v>621</v>
      </c>
      <c r="AB23">
        <v>10374822</v>
      </c>
      <c r="AC23">
        <v>10276617</v>
      </c>
    </row>
    <row r="24" spans="1:33">
      <c r="A24" s="16" t="s">
        <v>40</v>
      </c>
      <c r="B24">
        <v>120</v>
      </c>
      <c r="C24">
        <v>2062874</v>
      </c>
      <c r="E24" s="16" t="s">
        <v>40</v>
      </c>
      <c r="F24">
        <v>102</v>
      </c>
      <c r="G24">
        <v>2080908</v>
      </c>
      <c r="I24" s="16" t="s">
        <v>40</v>
      </c>
      <c r="J24">
        <v>102</v>
      </c>
      <c r="K24">
        <v>4.9000000000000004</v>
      </c>
      <c r="P24" s="16" t="s">
        <v>40</v>
      </c>
      <c r="Q24">
        <v>120</v>
      </c>
      <c r="R24">
        <v>1</v>
      </c>
      <c r="Y24" s="16" t="s">
        <v>40</v>
      </c>
      <c r="Z24">
        <v>120</v>
      </c>
      <c r="AA24">
        <v>102</v>
      </c>
      <c r="AB24">
        <v>2062874</v>
      </c>
      <c r="AC24">
        <v>2080908</v>
      </c>
    </row>
    <row r="25" spans="1:33">
      <c r="A25" s="16" t="s">
        <v>19</v>
      </c>
      <c r="B25">
        <v>4621</v>
      </c>
      <c r="C25">
        <v>51014947</v>
      </c>
      <c r="E25" s="16" t="s">
        <v>19</v>
      </c>
      <c r="F25">
        <v>3349</v>
      </c>
      <c r="G25">
        <v>51709098</v>
      </c>
      <c r="I25" s="16" t="s">
        <v>19</v>
      </c>
      <c r="J25">
        <v>3349</v>
      </c>
      <c r="K25">
        <v>6.5</v>
      </c>
      <c r="P25" s="16" t="s">
        <v>19</v>
      </c>
      <c r="Q25">
        <v>4621</v>
      </c>
      <c r="R25">
        <v>1</v>
      </c>
      <c r="Y25" s="16" t="s">
        <v>19</v>
      </c>
      <c r="Z25">
        <v>4621</v>
      </c>
      <c r="AA25">
        <v>3349</v>
      </c>
      <c r="AB25">
        <v>51014947</v>
      </c>
      <c r="AC25">
        <v>51709098</v>
      </c>
    </row>
    <row r="26" spans="1:33">
      <c r="A26" s="16" t="s">
        <v>57</v>
      </c>
      <c r="B26">
        <v>1689</v>
      </c>
      <c r="C26">
        <v>46449565</v>
      </c>
      <c r="E26" s="16" t="s">
        <v>57</v>
      </c>
      <c r="F26">
        <v>1755</v>
      </c>
      <c r="G26">
        <v>46937060</v>
      </c>
      <c r="I26" s="16" t="s">
        <v>57</v>
      </c>
      <c r="J26">
        <v>1755</v>
      </c>
      <c r="K26">
        <v>3.7</v>
      </c>
      <c r="P26" s="16" t="s">
        <v>57</v>
      </c>
      <c r="Q26">
        <v>1689</v>
      </c>
      <c r="R26">
        <v>1</v>
      </c>
      <c r="Y26" s="16" t="s">
        <v>57</v>
      </c>
      <c r="Z26">
        <v>1689</v>
      </c>
      <c r="AA26">
        <v>1755</v>
      </c>
      <c r="AB26">
        <v>46449565</v>
      </c>
      <c r="AC26">
        <v>46937060</v>
      </c>
    </row>
    <row r="27" spans="1:33">
      <c r="A27" s="16" t="s">
        <v>73</v>
      </c>
      <c r="B27">
        <v>259</v>
      </c>
      <c r="C27">
        <v>9747355</v>
      </c>
      <c r="E27" s="16" t="s">
        <v>73</v>
      </c>
      <c r="F27">
        <v>221</v>
      </c>
      <c r="G27">
        <v>10230185</v>
      </c>
      <c r="I27" s="16" t="s">
        <v>73</v>
      </c>
      <c r="J27">
        <v>221</v>
      </c>
      <c r="K27">
        <v>2.2000000000000002</v>
      </c>
      <c r="P27" s="16" t="s">
        <v>73</v>
      </c>
      <c r="Q27">
        <v>259</v>
      </c>
      <c r="R27">
        <v>1</v>
      </c>
      <c r="Y27" s="16" t="s">
        <v>73</v>
      </c>
      <c r="Z27">
        <v>259</v>
      </c>
      <c r="AA27">
        <v>221</v>
      </c>
      <c r="AB27">
        <v>9747355</v>
      </c>
      <c r="AC27">
        <v>10230185</v>
      </c>
    </row>
    <row r="28" spans="1:33">
      <c r="A28" s="16" t="s">
        <v>70</v>
      </c>
      <c r="B28">
        <v>253</v>
      </c>
      <c r="C28">
        <v>8237666</v>
      </c>
      <c r="E28" s="16" t="s">
        <v>70</v>
      </c>
      <c r="F28">
        <v>187</v>
      </c>
      <c r="G28">
        <v>8544527</v>
      </c>
      <c r="I28" s="16" t="s">
        <v>70</v>
      </c>
      <c r="J28">
        <v>187</v>
      </c>
      <c r="K28">
        <v>2.2000000000000002</v>
      </c>
      <c r="P28" s="16" t="s">
        <v>70</v>
      </c>
      <c r="Q28">
        <v>253</v>
      </c>
      <c r="R28">
        <v>1</v>
      </c>
      <c r="Y28" s="16" t="s">
        <v>70</v>
      </c>
      <c r="Z28">
        <v>253</v>
      </c>
      <c r="AA28">
        <v>187</v>
      </c>
      <c r="AB28">
        <v>8237666</v>
      </c>
      <c r="AC28">
        <v>8544527</v>
      </c>
    </row>
    <row r="29" spans="1:33">
      <c r="A29" s="16" t="s">
        <v>68</v>
      </c>
      <c r="B29">
        <v>1804</v>
      </c>
      <c r="C29">
        <v>65110034</v>
      </c>
      <c r="E29" s="16" t="s">
        <v>68</v>
      </c>
      <c r="F29">
        <v>1808</v>
      </c>
      <c r="G29">
        <v>66796807</v>
      </c>
      <c r="I29" s="16" t="s">
        <v>68</v>
      </c>
      <c r="J29">
        <v>1808</v>
      </c>
      <c r="K29">
        <v>2.7</v>
      </c>
      <c r="P29" s="16" t="s">
        <v>68</v>
      </c>
      <c r="Q29">
        <v>1804</v>
      </c>
      <c r="R29">
        <v>1</v>
      </c>
      <c r="Y29" s="16" t="s">
        <v>68</v>
      </c>
      <c r="Z29">
        <v>1804</v>
      </c>
      <c r="AA29">
        <v>1808</v>
      </c>
      <c r="AB29">
        <v>65110034</v>
      </c>
      <c r="AC29">
        <v>66796807</v>
      </c>
    </row>
    <row r="30" spans="1:33">
      <c r="A30" s="16" t="s">
        <v>9</v>
      </c>
      <c r="B30">
        <v>35484</v>
      </c>
      <c r="C30">
        <v>320635163</v>
      </c>
      <c r="E30" s="16" t="s">
        <v>9</v>
      </c>
      <c r="F30">
        <v>36355</v>
      </c>
      <c r="G30">
        <v>328239523</v>
      </c>
      <c r="I30" s="16" t="s">
        <v>9</v>
      </c>
      <c r="J30">
        <v>36355</v>
      </c>
      <c r="K30">
        <v>11.1</v>
      </c>
      <c r="P30" s="16" t="s">
        <v>9</v>
      </c>
      <c r="Q30">
        <v>35484</v>
      </c>
      <c r="R30">
        <v>1</v>
      </c>
      <c r="Y30" s="16" t="s">
        <v>9</v>
      </c>
      <c r="Z30">
        <v>35484</v>
      </c>
      <c r="AA30">
        <v>36355</v>
      </c>
      <c r="AB30">
        <v>320635163</v>
      </c>
      <c r="AC30">
        <v>328239523</v>
      </c>
    </row>
    <row r="31" spans="1:33">
      <c r="A31" s="16" t="s">
        <v>165</v>
      </c>
      <c r="B31">
        <v>74327</v>
      </c>
      <c r="C31">
        <v>1067607209</v>
      </c>
      <c r="E31" s="16" t="s">
        <v>165</v>
      </c>
      <c r="F31">
        <v>70791</v>
      </c>
      <c r="G31">
        <v>1085958399</v>
      </c>
      <c r="I31" s="16" t="s">
        <v>165</v>
      </c>
      <c r="J31">
        <v>70791</v>
      </c>
      <c r="K31">
        <v>146.30000000000001</v>
      </c>
      <c r="P31" s="16" t="s">
        <v>165</v>
      </c>
      <c r="Q31">
        <v>74327</v>
      </c>
      <c r="R31">
        <v>29</v>
      </c>
      <c r="Y31" s="16" t="s">
        <v>165</v>
      </c>
      <c r="Z31">
        <v>74327</v>
      </c>
      <c r="AA31">
        <v>70791</v>
      </c>
      <c r="AB31">
        <v>1067607209</v>
      </c>
      <c r="AC31">
        <v>1085958399</v>
      </c>
    </row>
  </sheetData>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BF0E7-2CE8-4282-A29C-1EF7CD6D3291}">
  <sheetPr codeName="Sheet6"/>
  <dimension ref="A1"/>
  <sheetViews>
    <sheetView zoomScale="97" zoomScaleNormal="97" workbookViewId="0">
      <selection activeCell="D9" sqref="D9"/>
    </sheetView>
  </sheetViews>
  <sheetFormatPr defaultRowHeight="12.75"/>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4</xdr:col>
                <xdr:colOff>438150</xdr:colOff>
                <xdr:row>5</xdr:row>
                <xdr:rowOff>133350</xdr:rowOff>
              </from>
              <to>
                <xdr:col>7</xdr:col>
                <xdr:colOff>171450</xdr:colOff>
                <xdr:row>11</xdr:row>
                <xdr:rowOff>9525</xdr:rowOff>
              </to>
            </anchor>
          </controlPr>
        </control>
      </mc:Choice>
      <mc:Fallback>
        <control shapeId="3073" r:id="rId3" name="CommandButton1"/>
      </mc:Fallback>
    </mc:AlternateContent>
  </controls>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5E8B4-759C-4A87-A980-0BE2B9CFA8C8}">
  <sheetPr codeName="Sheet7"/>
  <dimension ref="A1:I32"/>
  <sheetViews>
    <sheetView topLeftCell="A10" zoomScale="85" zoomScaleNormal="85" workbookViewId="0">
      <selection activeCell="F13" sqref="F13"/>
    </sheetView>
  </sheetViews>
  <sheetFormatPr defaultRowHeight="12.75"/>
  <cols>
    <col min="1" max="1" width="13.28515625" customWidth="1"/>
    <col min="2" max="3" width="15.140625" bestFit="1" customWidth="1"/>
    <col min="4" max="5" width="14.42578125" bestFit="1" customWidth="1"/>
    <col min="6" max="6" width="22" bestFit="1" customWidth="1"/>
    <col min="7" max="7" width="21.5703125" customWidth="1"/>
    <col min="8" max="8" width="21.42578125" customWidth="1"/>
    <col min="9" max="9" width="20.140625" style="15" bestFit="1" customWidth="1"/>
  </cols>
  <sheetData>
    <row r="1" spans="1:9">
      <c r="A1" s="29" t="s">
        <v>163</v>
      </c>
      <c r="B1" s="6" t="s">
        <v>157</v>
      </c>
      <c r="C1" s="6" t="s">
        <v>160</v>
      </c>
      <c r="D1" s="6" t="s">
        <v>158</v>
      </c>
      <c r="E1" s="6" t="s">
        <v>159</v>
      </c>
      <c r="F1" s="10" t="s">
        <v>8</v>
      </c>
      <c r="G1" s="12" t="s">
        <v>161</v>
      </c>
      <c r="H1" s="12" t="s">
        <v>162</v>
      </c>
      <c r="I1" s="12" t="s">
        <v>8</v>
      </c>
    </row>
    <row r="2" spans="1:9" ht="15">
      <c r="A2" s="30" t="s">
        <v>9</v>
      </c>
      <c r="B2" s="31">
        <v>35484</v>
      </c>
      <c r="C2" s="31">
        <v>36355</v>
      </c>
      <c r="D2" s="31">
        <v>320635163</v>
      </c>
      <c r="E2" s="32">
        <v>328239523</v>
      </c>
      <c r="F2" s="33">
        <v>2.5</v>
      </c>
      <c r="G2" s="34">
        <v>11.1</v>
      </c>
      <c r="H2" s="33">
        <v>11.1</v>
      </c>
      <c r="I2" s="34">
        <v>0.1</v>
      </c>
    </row>
    <row r="3" spans="1:9" ht="15">
      <c r="A3" s="30" t="s">
        <v>10</v>
      </c>
      <c r="B3" s="34">
        <v>2563</v>
      </c>
      <c r="C3" s="31">
        <v>1973</v>
      </c>
      <c r="D3" s="31">
        <v>18006407</v>
      </c>
      <c r="E3" s="32">
        <v>18726548</v>
      </c>
      <c r="F3" s="33" t="s">
        <v>11</v>
      </c>
      <c r="G3" s="34" t="s">
        <v>11</v>
      </c>
      <c r="H3" s="33">
        <v>10.5</v>
      </c>
      <c r="I3" s="34" t="s">
        <v>11</v>
      </c>
    </row>
    <row r="4" spans="1:9" ht="15">
      <c r="A4" s="30" t="s">
        <v>12</v>
      </c>
      <c r="B4" s="31">
        <v>2938</v>
      </c>
      <c r="C4" s="31">
        <v>2909</v>
      </c>
      <c r="D4" s="31">
        <v>38005614</v>
      </c>
      <c r="E4" s="32">
        <v>37972812</v>
      </c>
      <c r="F4" s="33" t="s">
        <v>13</v>
      </c>
      <c r="G4" s="34">
        <v>7.7</v>
      </c>
      <c r="H4" s="33">
        <v>7.7</v>
      </c>
      <c r="I4" s="34" t="s">
        <v>14</v>
      </c>
    </row>
    <row r="5" spans="1:9" ht="15">
      <c r="A5" s="30" t="s">
        <v>15</v>
      </c>
      <c r="B5" s="35">
        <v>318</v>
      </c>
      <c r="C5" s="35">
        <v>352</v>
      </c>
      <c r="D5" s="31">
        <v>4596700</v>
      </c>
      <c r="E5" s="32">
        <v>4979200</v>
      </c>
      <c r="F5" s="33">
        <v>10.7</v>
      </c>
      <c r="G5" s="34">
        <v>6.9</v>
      </c>
      <c r="H5" s="33">
        <v>7.1</v>
      </c>
      <c r="I5" s="34">
        <v>2.2000000000000002</v>
      </c>
    </row>
    <row r="6" spans="1:9" ht="15">
      <c r="A6" s="30" t="s">
        <v>16</v>
      </c>
      <c r="B6" s="35">
        <v>239</v>
      </c>
      <c r="C6" s="35">
        <v>186</v>
      </c>
      <c r="D6" s="31">
        <v>2921262</v>
      </c>
      <c r="E6" s="32">
        <v>2794184</v>
      </c>
      <c r="F6" s="33" t="s">
        <v>17</v>
      </c>
      <c r="G6" s="34">
        <v>8.1999999999999993</v>
      </c>
      <c r="H6" s="33">
        <v>6.7</v>
      </c>
      <c r="I6" s="34" t="s">
        <v>18</v>
      </c>
    </row>
    <row r="7" spans="1:9" ht="15">
      <c r="A7" s="30" t="s">
        <v>19</v>
      </c>
      <c r="B7" s="31">
        <v>4621</v>
      </c>
      <c r="C7" s="31">
        <v>3349</v>
      </c>
      <c r="D7" s="31">
        <v>51014947</v>
      </c>
      <c r="E7" s="32">
        <v>51709098</v>
      </c>
      <c r="F7" s="33" t="s">
        <v>20</v>
      </c>
      <c r="G7" s="34">
        <v>9.1</v>
      </c>
      <c r="H7" s="33">
        <v>6.5</v>
      </c>
      <c r="I7" s="34" t="s">
        <v>21</v>
      </c>
    </row>
    <row r="8" spans="1:9" ht="15">
      <c r="A8" s="30" t="s">
        <v>22</v>
      </c>
      <c r="B8" s="35">
        <v>793</v>
      </c>
      <c r="C8" s="35">
        <v>688</v>
      </c>
      <c r="D8" s="31">
        <v>10858018</v>
      </c>
      <c r="E8" s="32">
        <v>10724599</v>
      </c>
      <c r="F8" s="33" t="s">
        <v>23</v>
      </c>
      <c r="G8" s="34">
        <v>7.3</v>
      </c>
      <c r="H8" s="33">
        <v>6.4</v>
      </c>
      <c r="I8" s="34" t="s">
        <v>24</v>
      </c>
    </row>
    <row r="9" spans="1:9" ht="15">
      <c r="A9" s="30" t="s">
        <v>25</v>
      </c>
      <c r="B9" s="35">
        <v>648</v>
      </c>
      <c r="C9" s="35">
        <v>602</v>
      </c>
      <c r="D9" s="31">
        <v>9855571</v>
      </c>
      <c r="E9" s="32">
        <v>9772756</v>
      </c>
      <c r="F9" s="33" t="s">
        <v>26</v>
      </c>
      <c r="G9" s="34">
        <v>6.6</v>
      </c>
      <c r="H9" s="33">
        <v>6.2</v>
      </c>
      <c r="I9" s="34" t="s">
        <v>27</v>
      </c>
    </row>
    <row r="10" spans="1:9" ht="15">
      <c r="A10" s="30" t="s">
        <v>28</v>
      </c>
      <c r="B10" s="35">
        <v>593</v>
      </c>
      <c r="C10" s="35">
        <v>621</v>
      </c>
      <c r="D10" s="31">
        <v>10374822</v>
      </c>
      <c r="E10" s="32">
        <v>10276617</v>
      </c>
      <c r="F10" s="33">
        <v>4.7</v>
      </c>
      <c r="G10" s="34">
        <v>5.7</v>
      </c>
      <c r="H10" s="33">
        <v>6</v>
      </c>
      <c r="I10" s="34">
        <v>5.7</v>
      </c>
    </row>
    <row r="11" spans="1:9" ht="15">
      <c r="A11" s="30" t="s">
        <v>29</v>
      </c>
      <c r="B11" s="35">
        <v>735</v>
      </c>
      <c r="C11" s="35">
        <v>617</v>
      </c>
      <c r="D11" s="31">
        <v>10538275</v>
      </c>
      <c r="E11" s="32">
        <v>10649800</v>
      </c>
      <c r="F11" s="33" t="s">
        <v>30</v>
      </c>
      <c r="G11" s="34">
        <v>7</v>
      </c>
      <c r="H11" s="33">
        <v>5.8</v>
      </c>
      <c r="I11" s="34" t="s">
        <v>31</v>
      </c>
    </row>
    <row r="12" spans="1:9" ht="15">
      <c r="A12" s="30" t="s">
        <v>32</v>
      </c>
      <c r="B12" s="35">
        <v>762</v>
      </c>
      <c r="C12" s="35">
        <v>644</v>
      </c>
      <c r="D12" s="31">
        <v>11237274</v>
      </c>
      <c r="E12" s="32">
        <v>11455519</v>
      </c>
      <c r="F12" s="33" t="s">
        <v>33</v>
      </c>
      <c r="G12" s="34">
        <v>6.8</v>
      </c>
      <c r="H12" s="33">
        <v>5.6</v>
      </c>
      <c r="I12" s="34" t="s">
        <v>34</v>
      </c>
    </row>
    <row r="13" spans="1:9" ht="15">
      <c r="A13" s="30" t="s">
        <v>35</v>
      </c>
      <c r="B13" s="31">
        <v>3428</v>
      </c>
      <c r="C13" s="31">
        <v>3173</v>
      </c>
      <c r="D13" s="31">
        <v>60795612</v>
      </c>
      <c r="E13" s="32">
        <v>60359546</v>
      </c>
      <c r="F13" s="33" t="s">
        <v>36</v>
      </c>
      <c r="G13" s="34">
        <v>5.6</v>
      </c>
      <c r="H13" s="33">
        <v>5.3</v>
      </c>
      <c r="I13" s="34" t="s">
        <v>37</v>
      </c>
    </row>
    <row r="14" spans="1:9" ht="15">
      <c r="A14" s="30" t="s">
        <v>38</v>
      </c>
      <c r="B14" s="31">
        <v>3461</v>
      </c>
      <c r="C14" s="31">
        <v>3244</v>
      </c>
      <c r="D14" s="31">
        <v>64300821</v>
      </c>
      <c r="E14" s="32">
        <v>64812052</v>
      </c>
      <c r="F14" s="33" t="s">
        <v>27</v>
      </c>
      <c r="G14" s="34">
        <v>5.4</v>
      </c>
      <c r="H14" s="33">
        <v>5</v>
      </c>
      <c r="I14" s="34" t="s">
        <v>39</v>
      </c>
    </row>
    <row r="15" spans="1:9" ht="15">
      <c r="A15" s="30" t="s">
        <v>40</v>
      </c>
      <c r="B15" s="35">
        <v>120</v>
      </c>
      <c r="C15" s="35">
        <v>102</v>
      </c>
      <c r="D15" s="31">
        <v>2062874</v>
      </c>
      <c r="E15" s="32">
        <v>2080908</v>
      </c>
      <c r="F15" s="33" t="s">
        <v>41</v>
      </c>
      <c r="G15" s="34">
        <v>5.8</v>
      </c>
      <c r="H15" s="33">
        <v>4.9000000000000004</v>
      </c>
      <c r="I15" s="34" t="s">
        <v>42</v>
      </c>
    </row>
    <row r="16" spans="1:9" ht="15">
      <c r="A16" s="30" t="s">
        <v>43</v>
      </c>
      <c r="B16" s="35">
        <v>479</v>
      </c>
      <c r="C16" s="35">
        <v>416</v>
      </c>
      <c r="D16" s="31">
        <v>8584926</v>
      </c>
      <c r="E16" s="32">
        <v>8858775</v>
      </c>
      <c r="F16" s="33" t="s">
        <v>23</v>
      </c>
      <c r="G16" s="34">
        <v>5.6</v>
      </c>
      <c r="H16" s="33">
        <v>4.7</v>
      </c>
      <c r="I16" s="34" t="s">
        <v>44</v>
      </c>
    </row>
    <row r="17" spans="1:9" ht="15">
      <c r="A17" s="30" t="s">
        <v>45</v>
      </c>
      <c r="B17" s="31">
        <v>1887</v>
      </c>
      <c r="C17" s="31">
        <v>1762</v>
      </c>
      <c r="D17" s="31">
        <v>35826748</v>
      </c>
      <c r="E17" s="32">
        <v>37593384</v>
      </c>
      <c r="F17" s="33" t="s">
        <v>46</v>
      </c>
      <c r="G17" s="34">
        <v>5.3</v>
      </c>
      <c r="H17" s="33">
        <v>4.7</v>
      </c>
      <c r="I17" s="34" t="s">
        <v>47</v>
      </c>
    </row>
    <row r="18" spans="1:9" ht="15">
      <c r="A18" s="30" t="s">
        <v>48</v>
      </c>
      <c r="B18" s="31">
        <v>1205</v>
      </c>
      <c r="C18" s="31">
        <v>1187</v>
      </c>
      <c r="D18" s="31">
        <v>23815995</v>
      </c>
      <c r="E18" s="32">
        <v>25365571</v>
      </c>
      <c r="F18" s="33" t="s">
        <v>49</v>
      </c>
      <c r="G18" s="34">
        <v>5.0999999999999996</v>
      </c>
      <c r="H18" s="33">
        <v>4.7</v>
      </c>
      <c r="I18" s="34" t="s">
        <v>50</v>
      </c>
    </row>
    <row r="19" spans="1:9" ht="15">
      <c r="A19" s="30" t="s">
        <v>51</v>
      </c>
      <c r="B19" s="35">
        <v>356</v>
      </c>
      <c r="C19" s="35">
        <v>355</v>
      </c>
      <c r="D19" s="31">
        <v>8463400</v>
      </c>
      <c r="E19" s="32">
        <v>9054100</v>
      </c>
      <c r="F19" s="33" t="s">
        <v>52</v>
      </c>
      <c r="G19" s="34">
        <v>4.2</v>
      </c>
      <c r="H19" s="33">
        <v>3.9</v>
      </c>
      <c r="I19" s="34" t="s">
        <v>37</v>
      </c>
    </row>
    <row r="20" spans="1:9" ht="15">
      <c r="A20" s="30" t="s">
        <v>53</v>
      </c>
      <c r="B20" s="35">
        <v>621</v>
      </c>
      <c r="C20" s="35">
        <v>661</v>
      </c>
      <c r="D20" s="31">
        <v>16900726</v>
      </c>
      <c r="E20" s="32">
        <v>17282163</v>
      </c>
      <c r="F20" s="33">
        <v>6.4</v>
      </c>
      <c r="G20" s="34">
        <v>3.7</v>
      </c>
      <c r="H20" s="33">
        <v>3.8</v>
      </c>
      <c r="I20" s="34">
        <v>4.0999999999999996</v>
      </c>
    </row>
    <row r="21" spans="1:9" ht="15">
      <c r="A21" s="30" t="s">
        <v>54</v>
      </c>
      <c r="B21" s="35">
        <v>270</v>
      </c>
      <c r="C21" s="35">
        <v>211</v>
      </c>
      <c r="D21" s="31">
        <v>5471753</v>
      </c>
      <c r="E21" s="32">
        <v>5517919</v>
      </c>
      <c r="F21" s="33" t="s">
        <v>55</v>
      </c>
      <c r="G21" s="34">
        <v>4.9000000000000004</v>
      </c>
      <c r="H21" s="33">
        <v>3.8</v>
      </c>
      <c r="I21" s="34" t="s">
        <v>56</v>
      </c>
    </row>
    <row r="22" spans="1:9" ht="15">
      <c r="A22" s="30" t="s">
        <v>57</v>
      </c>
      <c r="B22" s="31">
        <v>1689</v>
      </c>
      <c r="C22" s="31">
        <v>1755</v>
      </c>
      <c r="D22" s="31">
        <v>46449565</v>
      </c>
      <c r="E22" s="32">
        <v>46937060</v>
      </c>
      <c r="F22" s="33">
        <v>3.9</v>
      </c>
      <c r="G22" s="34">
        <v>3.6</v>
      </c>
      <c r="H22" s="33">
        <v>3.7</v>
      </c>
      <c r="I22" s="34">
        <v>2.8</v>
      </c>
    </row>
    <row r="23" spans="1:9" ht="15">
      <c r="A23" s="30" t="s">
        <v>58</v>
      </c>
      <c r="B23" s="31">
        <v>3459</v>
      </c>
      <c r="C23" s="31">
        <v>3046</v>
      </c>
      <c r="D23" s="31">
        <v>81197537</v>
      </c>
      <c r="E23" s="32">
        <v>83019213</v>
      </c>
      <c r="F23" s="33" t="s">
        <v>59</v>
      </c>
      <c r="G23" s="34">
        <v>4.3</v>
      </c>
      <c r="H23" s="33">
        <v>3.7</v>
      </c>
      <c r="I23" s="34" t="s">
        <v>60</v>
      </c>
    </row>
    <row r="24" spans="1:9" ht="15">
      <c r="A24" s="30" t="s">
        <v>61</v>
      </c>
      <c r="B24" s="35">
        <v>178</v>
      </c>
      <c r="C24" s="35">
        <v>199</v>
      </c>
      <c r="D24" s="31">
        <v>5659715</v>
      </c>
      <c r="E24" s="32">
        <v>5806081</v>
      </c>
      <c r="F24" s="33">
        <v>11.8</v>
      </c>
      <c r="G24" s="34">
        <v>3.1</v>
      </c>
      <c r="H24" s="33">
        <v>3.4</v>
      </c>
      <c r="I24" s="34">
        <v>9</v>
      </c>
    </row>
    <row r="25" spans="1:9" ht="15">
      <c r="A25" s="30" t="s">
        <v>62</v>
      </c>
      <c r="B25" s="31">
        <v>4885</v>
      </c>
      <c r="C25" s="31">
        <v>3920</v>
      </c>
      <c r="D25" s="31">
        <v>127095000</v>
      </c>
      <c r="E25" s="32">
        <v>126167000</v>
      </c>
      <c r="F25" s="33" t="s">
        <v>63</v>
      </c>
      <c r="G25" s="34">
        <v>3.8</v>
      </c>
      <c r="H25" s="33">
        <v>3.1</v>
      </c>
      <c r="I25" s="34" t="s">
        <v>64</v>
      </c>
    </row>
    <row r="26" spans="1:9" ht="15">
      <c r="A26" s="30" t="s">
        <v>65</v>
      </c>
      <c r="B26" s="35">
        <v>162</v>
      </c>
      <c r="C26" s="35">
        <v>140</v>
      </c>
      <c r="D26" s="31">
        <v>4677627</v>
      </c>
      <c r="E26" s="32">
        <v>4904240</v>
      </c>
      <c r="F26" s="33" t="s">
        <v>66</v>
      </c>
      <c r="G26" s="34">
        <v>3.5</v>
      </c>
      <c r="H26" s="33">
        <v>2.9</v>
      </c>
      <c r="I26" s="34" t="s">
        <v>67</v>
      </c>
    </row>
    <row r="27" spans="1:9" ht="15">
      <c r="A27" s="30" t="s">
        <v>68</v>
      </c>
      <c r="B27" s="31">
        <v>1804</v>
      </c>
      <c r="C27" s="31">
        <v>1808</v>
      </c>
      <c r="D27" s="31">
        <v>65110034</v>
      </c>
      <c r="E27" s="32">
        <v>66796807</v>
      </c>
      <c r="F27" s="33">
        <v>0.2</v>
      </c>
      <c r="G27" s="34">
        <v>2.8</v>
      </c>
      <c r="H27" s="33">
        <v>2.7</v>
      </c>
      <c r="I27" s="34" t="s">
        <v>69</v>
      </c>
    </row>
    <row r="28" spans="1:9" ht="15">
      <c r="A28" s="30" t="s">
        <v>70</v>
      </c>
      <c r="B28" s="35">
        <v>253</v>
      </c>
      <c r="C28" s="35">
        <v>187</v>
      </c>
      <c r="D28" s="31">
        <v>8237666</v>
      </c>
      <c r="E28" s="32">
        <v>8544527</v>
      </c>
      <c r="F28" s="33" t="s">
        <v>71</v>
      </c>
      <c r="G28" s="34">
        <v>3.1</v>
      </c>
      <c r="H28" s="33">
        <v>2.2000000000000002</v>
      </c>
      <c r="I28" s="34" t="s">
        <v>72</v>
      </c>
    </row>
    <row r="29" spans="1:9" ht="15">
      <c r="A29" s="30" t="s">
        <v>73</v>
      </c>
      <c r="B29" s="35">
        <v>259</v>
      </c>
      <c r="C29" s="35">
        <v>221</v>
      </c>
      <c r="D29" s="31">
        <v>9747355</v>
      </c>
      <c r="E29" s="32">
        <v>10230185</v>
      </c>
      <c r="F29" s="33" t="s">
        <v>74</v>
      </c>
      <c r="G29" s="34">
        <v>2.7</v>
      </c>
      <c r="H29" s="33">
        <v>2.2000000000000002</v>
      </c>
      <c r="I29" s="34" t="s">
        <v>75</v>
      </c>
    </row>
    <row r="30" spans="1:9" ht="15">
      <c r="A30" s="30" t="s">
        <v>76</v>
      </c>
      <c r="B30" s="35">
        <v>117</v>
      </c>
      <c r="C30" s="35">
        <v>108</v>
      </c>
      <c r="D30" s="31">
        <v>5165802</v>
      </c>
      <c r="E30" s="32">
        <v>5328212</v>
      </c>
      <c r="F30" s="33" t="s">
        <v>77</v>
      </c>
      <c r="G30" s="34">
        <v>2.2999999999999998</v>
      </c>
      <c r="H30" s="33">
        <v>2</v>
      </c>
      <c r="I30" s="34" t="s">
        <v>78</v>
      </c>
    </row>
    <row r="31" spans="1:9">
      <c r="B31" s="14"/>
      <c r="C31" s="14"/>
      <c r="D31" s="14"/>
      <c r="E31" s="14"/>
      <c r="F31" s="14"/>
    </row>
    <row r="32" spans="1:9">
      <c r="B32" s="14"/>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outlinePr summaryBelow="0" summaryRight="0"/>
  </sheetPr>
  <dimension ref="A1:AK999"/>
  <sheetViews>
    <sheetView topLeftCell="C19" workbookViewId="0">
      <selection activeCell="W2" sqref="W2:AK31"/>
    </sheetView>
  </sheetViews>
  <sheetFormatPr defaultColWidth="12.5703125" defaultRowHeight="15.75" customHeight="1"/>
  <cols>
    <col min="4" max="4" width="10.42578125" customWidth="1"/>
    <col min="5" max="8" width="4.140625" customWidth="1"/>
    <col min="9" max="10" width="6.7109375" customWidth="1"/>
    <col min="11" max="13" width="5.5703125" customWidth="1"/>
    <col min="14" max="17" width="2.85546875" customWidth="1"/>
    <col min="18" max="18" width="7.28515625" customWidth="1"/>
    <col min="19" max="22" width="4.42578125" customWidth="1"/>
    <col min="23" max="25" width="5.85546875" customWidth="1"/>
    <col min="26" max="29" width="5.28515625" customWidth="1"/>
    <col min="30" max="33" width="2.85546875" customWidth="1"/>
    <col min="34" max="35" width="5.42578125" customWidth="1"/>
    <col min="36" max="37" width="7.28515625" customWidth="1"/>
  </cols>
  <sheetData>
    <row r="1" spans="1:37">
      <c r="A1" s="55" t="s">
        <v>94</v>
      </c>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c r="A2" s="65" t="s">
        <v>95</v>
      </c>
      <c r="B2" s="50"/>
      <c r="C2" s="50"/>
      <c r="D2" s="64" t="s">
        <v>96</v>
      </c>
      <c r="E2" s="64" t="s">
        <v>97</v>
      </c>
      <c r="F2" s="50"/>
      <c r="G2" s="50"/>
      <c r="H2" s="50"/>
      <c r="I2" s="64" t="s">
        <v>98</v>
      </c>
      <c r="J2" s="50"/>
      <c r="K2" s="64" t="s">
        <v>99</v>
      </c>
      <c r="L2" s="50"/>
      <c r="M2" s="50"/>
      <c r="N2" s="63" t="s">
        <v>100</v>
      </c>
      <c r="O2" s="50"/>
      <c r="P2" s="50"/>
      <c r="Q2" s="50"/>
      <c r="R2" s="50"/>
      <c r="S2" s="50"/>
      <c r="T2" s="50"/>
      <c r="U2" s="50"/>
      <c r="V2" s="50"/>
      <c r="W2" s="64" t="s">
        <v>101</v>
      </c>
      <c r="X2" s="50"/>
      <c r="Y2" s="50"/>
      <c r="Z2" s="64" t="s">
        <v>102</v>
      </c>
      <c r="AA2" s="50"/>
      <c r="AB2" s="50"/>
      <c r="AC2" s="50"/>
      <c r="AD2" s="63" t="s">
        <v>103</v>
      </c>
      <c r="AE2" s="50"/>
      <c r="AF2" s="50"/>
      <c r="AG2" s="50"/>
      <c r="AH2" s="50"/>
      <c r="AI2" s="50"/>
      <c r="AJ2" s="50"/>
      <c r="AK2" s="50"/>
    </row>
    <row r="3" spans="1:37">
      <c r="A3" s="50"/>
      <c r="B3" s="50"/>
      <c r="C3" s="50"/>
      <c r="D3" s="50"/>
      <c r="E3" s="50"/>
      <c r="F3" s="50"/>
      <c r="G3" s="50"/>
      <c r="H3" s="50"/>
      <c r="I3" s="50"/>
      <c r="J3" s="50"/>
      <c r="K3" s="50"/>
      <c r="L3" s="50"/>
      <c r="M3" s="50"/>
      <c r="N3" s="64">
        <v>2015</v>
      </c>
      <c r="O3" s="50"/>
      <c r="P3" s="50"/>
      <c r="Q3" s="50"/>
      <c r="R3" s="3">
        <v>2019</v>
      </c>
      <c r="S3" s="63" t="s">
        <v>104</v>
      </c>
      <c r="T3" s="50"/>
      <c r="U3" s="50"/>
      <c r="V3" s="50"/>
      <c r="W3" s="50"/>
      <c r="X3" s="50"/>
      <c r="Y3" s="50"/>
      <c r="Z3" s="50"/>
      <c r="AA3" s="50"/>
      <c r="AB3" s="50"/>
      <c r="AC3" s="50"/>
      <c r="AD3" s="64">
        <v>2015</v>
      </c>
      <c r="AE3" s="50"/>
      <c r="AF3" s="50"/>
      <c r="AG3" s="50"/>
      <c r="AH3" s="64">
        <v>2019</v>
      </c>
      <c r="AI3" s="50"/>
      <c r="AJ3" s="63" t="s">
        <v>104</v>
      </c>
      <c r="AK3" s="50"/>
    </row>
    <row r="4" spans="1:37">
      <c r="A4" s="60" t="s">
        <v>9</v>
      </c>
      <c r="B4" s="50"/>
      <c r="C4" s="50"/>
      <c r="D4" s="4">
        <v>35484</v>
      </c>
      <c r="E4" s="62">
        <v>36355</v>
      </c>
      <c r="F4" s="50"/>
      <c r="G4" s="50"/>
      <c r="H4" s="50"/>
      <c r="I4" s="66">
        <v>3089.8</v>
      </c>
      <c r="J4" s="50"/>
      <c r="K4" s="66">
        <v>3261.8</v>
      </c>
      <c r="L4" s="50"/>
      <c r="M4" s="50"/>
      <c r="N4" s="61">
        <v>1.1499999999999999</v>
      </c>
      <c r="O4" s="50"/>
      <c r="P4" s="50"/>
      <c r="Q4" s="50"/>
      <c r="R4" s="5">
        <v>1.1100000000000001</v>
      </c>
      <c r="S4" s="61" t="s">
        <v>105</v>
      </c>
      <c r="T4" s="50"/>
      <c r="U4" s="50"/>
      <c r="V4" s="50"/>
      <c r="W4" s="62">
        <v>281312446</v>
      </c>
      <c r="X4" s="50"/>
      <c r="Y4" s="50"/>
      <c r="Z4" s="62">
        <v>299267114</v>
      </c>
      <c r="AA4" s="50"/>
      <c r="AB4" s="50"/>
      <c r="AC4" s="50"/>
      <c r="AD4" s="61">
        <v>1.26</v>
      </c>
      <c r="AE4" s="50"/>
      <c r="AF4" s="50"/>
      <c r="AG4" s="50"/>
      <c r="AH4" s="61">
        <v>1.21</v>
      </c>
      <c r="AI4" s="50"/>
      <c r="AJ4" s="61" t="s">
        <v>106</v>
      </c>
      <c r="AK4" s="50"/>
    </row>
    <row r="5" spans="1:37">
      <c r="A5" s="60" t="s">
        <v>107</v>
      </c>
      <c r="B5" s="50"/>
      <c r="C5" s="50"/>
      <c r="D5" s="5" t="s">
        <v>11</v>
      </c>
      <c r="E5" s="62">
        <v>1973</v>
      </c>
      <c r="F5" s="50"/>
      <c r="G5" s="50"/>
      <c r="H5" s="50"/>
      <c r="I5" s="61" t="s">
        <v>11</v>
      </c>
      <c r="J5" s="50"/>
      <c r="K5" s="61" t="s">
        <v>11</v>
      </c>
      <c r="L5" s="50"/>
      <c r="M5" s="50"/>
      <c r="N5" s="61" t="s">
        <v>11</v>
      </c>
      <c r="O5" s="50"/>
      <c r="P5" s="50"/>
      <c r="Q5" s="50"/>
      <c r="R5" s="5" t="s">
        <v>11</v>
      </c>
      <c r="S5" s="61" t="s">
        <v>11</v>
      </c>
      <c r="T5" s="50"/>
      <c r="U5" s="50"/>
      <c r="V5" s="50"/>
      <c r="W5" s="62">
        <v>4647062</v>
      </c>
      <c r="X5" s="50"/>
      <c r="Y5" s="50"/>
      <c r="Z5" s="62">
        <v>5599733</v>
      </c>
      <c r="AA5" s="50"/>
      <c r="AB5" s="50"/>
      <c r="AC5" s="50"/>
      <c r="AD5" s="61" t="s">
        <v>11</v>
      </c>
      <c r="AE5" s="50"/>
      <c r="AF5" s="50"/>
      <c r="AG5" s="50"/>
      <c r="AH5" s="61">
        <v>3.52</v>
      </c>
      <c r="AI5" s="50"/>
      <c r="AJ5" s="61" t="s">
        <v>11</v>
      </c>
      <c r="AK5" s="50"/>
    </row>
    <row r="6" spans="1:37">
      <c r="A6" s="60" t="s">
        <v>12</v>
      </c>
      <c r="B6" s="50"/>
      <c r="C6" s="50"/>
      <c r="D6" s="4">
        <v>2938</v>
      </c>
      <c r="E6" s="62">
        <v>2909</v>
      </c>
      <c r="F6" s="50"/>
      <c r="G6" s="50"/>
      <c r="H6" s="50"/>
      <c r="I6" s="61">
        <v>138</v>
      </c>
      <c r="J6" s="50"/>
      <c r="K6" s="61">
        <v>155.1</v>
      </c>
      <c r="L6" s="50"/>
      <c r="M6" s="50"/>
      <c r="N6" s="61">
        <v>2.13</v>
      </c>
      <c r="O6" s="50"/>
      <c r="P6" s="50"/>
      <c r="Q6" s="50"/>
      <c r="R6" s="5">
        <v>1.88</v>
      </c>
      <c r="S6" s="61" t="s">
        <v>59</v>
      </c>
      <c r="T6" s="50"/>
      <c r="U6" s="50"/>
      <c r="V6" s="50"/>
      <c r="W6" s="62">
        <v>27409000</v>
      </c>
      <c r="X6" s="50"/>
      <c r="Y6" s="50"/>
      <c r="Z6" s="62">
        <v>31989000</v>
      </c>
      <c r="AA6" s="50"/>
      <c r="AB6" s="50"/>
      <c r="AC6" s="50"/>
      <c r="AD6" s="61">
        <v>1.07</v>
      </c>
      <c r="AE6" s="50"/>
      <c r="AF6" s="50"/>
      <c r="AG6" s="50"/>
      <c r="AH6" s="61">
        <v>0.91</v>
      </c>
      <c r="AI6" s="50"/>
      <c r="AJ6" s="61" t="s">
        <v>108</v>
      </c>
      <c r="AK6" s="50"/>
    </row>
    <row r="7" spans="1:37">
      <c r="A7" s="60" t="s">
        <v>15</v>
      </c>
      <c r="B7" s="50"/>
      <c r="C7" s="50"/>
      <c r="D7" s="5">
        <v>318</v>
      </c>
      <c r="E7" s="61">
        <v>352</v>
      </c>
      <c r="F7" s="50"/>
      <c r="G7" s="50"/>
      <c r="H7" s="50"/>
      <c r="I7" s="61">
        <v>26.9</v>
      </c>
      <c r="J7" s="50"/>
      <c r="K7" s="61">
        <v>30.4</v>
      </c>
      <c r="L7" s="50"/>
      <c r="M7" s="50"/>
      <c r="N7" s="61">
        <v>1.18</v>
      </c>
      <c r="O7" s="50"/>
      <c r="P7" s="50"/>
      <c r="Q7" s="50"/>
      <c r="R7" s="5">
        <v>1.1599999999999999</v>
      </c>
      <c r="S7" s="61" t="s">
        <v>109</v>
      </c>
      <c r="T7" s="50"/>
      <c r="U7" s="50"/>
      <c r="V7" s="50"/>
      <c r="W7" s="62">
        <v>3514782</v>
      </c>
      <c r="X7" s="50"/>
      <c r="Y7" s="50"/>
      <c r="Z7" s="62">
        <v>4403000</v>
      </c>
      <c r="AA7" s="50"/>
      <c r="AB7" s="50"/>
      <c r="AC7" s="50"/>
      <c r="AD7" s="61">
        <v>0.9</v>
      </c>
      <c r="AE7" s="50"/>
      <c r="AF7" s="50"/>
      <c r="AG7" s="50"/>
      <c r="AH7" s="61">
        <v>0.8</v>
      </c>
      <c r="AI7" s="50"/>
      <c r="AJ7" s="61" t="s">
        <v>110</v>
      </c>
      <c r="AK7" s="50"/>
    </row>
    <row r="8" spans="1:37">
      <c r="A8" s="60" t="s">
        <v>16</v>
      </c>
      <c r="B8" s="50"/>
      <c r="C8" s="50"/>
      <c r="D8" s="5">
        <v>239</v>
      </c>
      <c r="E8" s="61">
        <v>186</v>
      </c>
      <c r="F8" s="50"/>
      <c r="G8" s="50"/>
      <c r="H8" s="50"/>
      <c r="I8" s="61" t="s">
        <v>11</v>
      </c>
      <c r="J8" s="50"/>
      <c r="K8" s="61" t="s">
        <v>11</v>
      </c>
      <c r="L8" s="50"/>
      <c r="M8" s="50"/>
      <c r="N8" s="61" t="s">
        <v>11</v>
      </c>
      <c r="O8" s="50"/>
      <c r="P8" s="50"/>
      <c r="Q8" s="50"/>
      <c r="R8" s="5" t="s">
        <v>11</v>
      </c>
      <c r="S8" s="61" t="s">
        <v>11</v>
      </c>
      <c r="T8" s="50"/>
      <c r="U8" s="50"/>
      <c r="V8" s="50"/>
      <c r="W8" s="62">
        <v>1549158</v>
      </c>
      <c r="X8" s="50"/>
      <c r="Y8" s="50"/>
      <c r="Z8" s="62">
        <v>1719065</v>
      </c>
      <c r="AA8" s="50"/>
      <c r="AB8" s="50"/>
      <c r="AC8" s="50"/>
      <c r="AD8" s="61">
        <v>1.54</v>
      </c>
      <c r="AE8" s="50"/>
      <c r="AF8" s="50"/>
      <c r="AG8" s="50"/>
      <c r="AH8" s="61">
        <v>1.08</v>
      </c>
      <c r="AI8" s="50"/>
      <c r="AJ8" s="61" t="s">
        <v>111</v>
      </c>
      <c r="AK8" s="50"/>
    </row>
    <row r="9" spans="1:37">
      <c r="A9" s="60" t="s">
        <v>19</v>
      </c>
      <c r="B9" s="50"/>
      <c r="C9" s="50"/>
      <c r="D9" s="4">
        <v>4621</v>
      </c>
      <c r="E9" s="62">
        <v>3349</v>
      </c>
      <c r="F9" s="50"/>
      <c r="G9" s="50"/>
      <c r="H9" s="50"/>
      <c r="I9" s="61">
        <v>185.4</v>
      </c>
      <c r="J9" s="50"/>
      <c r="K9" s="61">
        <v>204.8</v>
      </c>
      <c r="L9" s="50"/>
      <c r="M9" s="50"/>
      <c r="N9" s="61">
        <v>2.4900000000000002</v>
      </c>
      <c r="O9" s="50"/>
      <c r="P9" s="50"/>
      <c r="Q9" s="50"/>
      <c r="R9" s="5">
        <v>1.64</v>
      </c>
      <c r="S9" s="61" t="s">
        <v>112</v>
      </c>
      <c r="T9" s="50"/>
      <c r="U9" s="50"/>
      <c r="V9" s="50"/>
      <c r="W9" s="62">
        <v>23853034</v>
      </c>
      <c r="X9" s="50"/>
      <c r="Y9" s="50"/>
      <c r="Z9" s="62">
        <v>26990456</v>
      </c>
      <c r="AA9" s="50"/>
      <c r="AB9" s="50"/>
      <c r="AC9" s="50"/>
      <c r="AD9" s="61">
        <v>1.94</v>
      </c>
      <c r="AE9" s="50"/>
      <c r="AF9" s="50"/>
      <c r="AG9" s="50"/>
      <c r="AH9" s="61">
        <v>1.24</v>
      </c>
      <c r="AI9" s="50"/>
      <c r="AJ9" s="61" t="s">
        <v>113</v>
      </c>
      <c r="AK9" s="50"/>
    </row>
    <row r="10" spans="1:37">
      <c r="A10" s="60" t="s">
        <v>22</v>
      </c>
      <c r="B10" s="50"/>
      <c r="C10" s="50"/>
      <c r="D10" s="5">
        <v>793</v>
      </c>
      <c r="E10" s="61">
        <v>688</v>
      </c>
      <c r="F10" s="50"/>
      <c r="G10" s="50"/>
      <c r="H10" s="50"/>
      <c r="I10" s="61" t="s">
        <v>11</v>
      </c>
      <c r="J10" s="50"/>
      <c r="K10" s="61" t="s">
        <v>11</v>
      </c>
      <c r="L10" s="50"/>
      <c r="M10" s="50"/>
      <c r="N10" s="61" t="s">
        <v>11</v>
      </c>
      <c r="O10" s="50"/>
      <c r="P10" s="50"/>
      <c r="Q10" s="50"/>
      <c r="R10" s="5" t="s">
        <v>11</v>
      </c>
      <c r="S10" s="61" t="s">
        <v>11</v>
      </c>
      <c r="T10" s="50"/>
      <c r="U10" s="50"/>
      <c r="V10" s="50"/>
      <c r="W10" s="62">
        <v>9518000</v>
      </c>
      <c r="X10" s="50"/>
      <c r="Y10" s="50"/>
      <c r="Z10" s="62">
        <v>9822000</v>
      </c>
      <c r="AA10" s="50"/>
      <c r="AB10" s="50"/>
      <c r="AC10" s="50"/>
      <c r="AD10" s="61">
        <v>0.83</v>
      </c>
      <c r="AE10" s="50"/>
      <c r="AF10" s="50"/>
      <c r="AG10" s="50"/>
      <c r="AH10" s="61">
        <v>0.7</v>
      </c>
      <c r="AI10" s="50"/>
      <c r="AJ10" s="61" t="s">
        <v>114</v>
      </c>
      <c r="AK10" s="50"/>
    </row>
    <row r="11" spans="1:37">
      <c r="A11" s="60" t="s">
        <v>25</v>
      </c>
      <c r="B11" s="50"/>
      <c r="C11" s="50"/>
      <c r="D11" s="5">
        <v>648</v>
      </c>
      <c r="E11" s="61">
        <v>602</v>
      </c>
      <c r="F11" s="50"/>
      <c r="G11" s="50"/>
      <c r="H11" s="50"/>
      <c r="I11" s="61" t="s">
        <v>11</v>
      </c>
      <c r="J11" s="50"/>
      <c r="K11" s="61">
        <v>29.3</v>
      </c>
      <c r="L11" s="50"/>
      <c r="M11" s="50"/>
      <c r="N11" s="61" t="s">
        <v>11</v>
      </c>
      <c r="O11" s="50"/>
      <c r="P11" s="50"/>
      <c r="Q11" s="50"/>
      <c r="R11" s="5">
        <v>2.0499999999999998</v>
      </c>
      <c r="S11" s="61" t="s">
        <v>11</v>
      </c>
      <c r="T11" s="50"/>
      <c r="U11" s="50"/>
      <c r="V11" s="50"/>
      <c r="W11" s="62">
        <v>3886000</v>
      </c>
      <c r="X11" s="50"/>
      <c r="Y11" s="50"/>
      <c r="Z11" s="62">
        <v>4625398</v>
      </c>
      <c r="AA11" s="50"/>
      <c r="AB11" s="50"/>
      <c r="AC11" s="50"/>
      <c r="AD11" s="61">
        <v>1.67</v>
      </c>
      <c r="AE11" s="50"/>
      <c r="AF11" s="50"/>
      <c r="AG11" s="50"/>
      <c r="AH11" s="61">
        <v>1.3</v>
      </c>
      <c r="AI11" s="50"/>
      <c r="AJ11" s="61" t="s">
        <v>55</v>
      </c>
      <c r="AK11" s="50"/>
    </row>
    <row r="12" spans="1:37">
      <c r="A12" s="60" t="s">
        <v>29</v>
      </c>
      <c r="B12" s="50"/>
      <c r="C12" s="50"/>
      <c r="D12" s="5">
        <v>735</v>
      </c>
      <c r="E12" s="61">
        <v>617</v>
      </c>
      <c r="F12" s="50"/>
      <c r="G12" s="50"/>
      <c r="H12" s="50"/>
      <c r="I12" s="61">
        <v>31.7</v>
      </c>
      <c r="J12" s="50"/>
      <c r="K12" s="61">
        <v>35.700000000000003</v>
      </c>
      <c r="L12" s="50"/>
      <c r="M12" s="50"/>
      <c r="N12" s="61">
        <v>2.3199999999999998</v>
      </c>
      <c r="O12" s="50"/>
      <c r="P12" s="50"/>
      <c r="Q12" s="50"/>
      <c r="R12" s="5">
        <v>1.73</v>
      </c>
      <c r="S12" s="61" t="s">
        <v>115</v>
      </c>
      <c r="T12" s="50"/>
      <c r="U12" s="50"/>
      <c r="V12" s="50"/>
      <c r="W12" s="62">
        <v>6499000</v>
      </c>
      <c r="X12" s="50"/>
      <c r="Y12" s="50"/>
      <c r="Z12" s="62">
        <v>7643000</v>
      </c>
      <c r="AA12" s="50"/>
      <c r="AB12" s="50"/>
      <c r="AC12" s="50"/>
      <c r="AD12" s="61">
        <v>1.1299999999999999</v>
      </c>
      <c r="AE12" s="50"/>
      <c r="AF12" s="50"/>
      <c r="AG12" s="50"/>
      <c r="AH12" s="61">
        <v>0.81</v>
      </c>
      <c r="AI12" s="50"/>
      <c r="AJ12" s="61" t="s">
        <v>116</v>
      </c>
      <c r="AK12" s="50"/>
    </row>
    <row r="13" spans="1:37">
      <c r="A13" s="60" t="s">
        <v>32</v>
      </c>
      <c r="B13" s="50"/>
      <c r="C13" s="50"/>
      <c r="D13" s="5">
        <v>762</v>
      </c>
      <c r="E13" s="61">
        <v>644</v>
      </c>
      <c r="F13" s="50"/>
      <c r="G13" s="50"/>
      <c r="H13" s="50"/>
      <c r="I13" s="61">
        <v>62.3</v>
      </c>
      <c r="J13" s="50"/>
      <c r="K13" s="61" t="s">
        <v>11</v>
      </c>
      <c r="L13" s="50"/>
      <c r="M13" s="50"/>
      <c r="N13" s="61">
        <v>1.22</v>
      </c>
      <c r="O13" s="50"/>
      <c r="P13" s="50"/>
      <c r="Q13" s="50"/>
      <c r="R13" s="5" t="s">
        <v>11</v>
      </c>
      <c r="S13" s="61" t="s">
        <v>11</v>
      </c>
      <c r="T13" s="50"/>
      <c r="U13" s="50"/>
      <c r="V13" s="50"/>
      <c r="W13" s="62">
        <v>7175062</v>
      </c>
      <c r="X13" s="50"/>
      <c r="Y13" s="50"/>
      <c r="Z13" s="62">
        <v>7614082</v>
      </c>
      <c r="AA13" s="50"/>
      <c r="AB13" s="50"/>
      <c r="AC13" s="50"/>
      <c r="AD13" s="61">
        <v>1.06</v>
      </c>
      <c r="AE13" s="50"/>
      <c r="AF13" s="50"/>
      <c r="AG13" s="50"/>
      <c r="AH13" s="61">
        <v>0.85</v>
      </c>
      <c r="AI13" s="50"/>
      <c r="AJ13" s="61" t="s">
        <v>117</v>
      </c>
      <c r="AK13" s="50"/>
    </row>
    <row r="14" spans="1:37">
      <c r="A14" s="60" t="s">
        <v>35</v>
      </c>
      <c r="B14" s="50"/>
      <c r="C14" s="50"/>
      <c r="D14" s="4">
        <v>3428</v>
      </c>
      <c r="E14" s="62">
        <v>3173</v>
      </c>
      <c r="F14" s="50"/>
      <c r="G14" s="50"/>
      <c r="H14" s="50"/>
      <c r="I14" s="61" t="s">
        <v>11</v>
      </c>
      <c r="J14" s="50"/>
      <c r="K14" s="61" t="s">
        <v>11</v>
      </c>
      <c r="L14" s="50"/>
      <c r="M14" s="50"/>
      <c r="N14" s="61" t="s">
        <v>11</v>
      </c>
      <c r="O14" s="50"/>
      <c r="P14" s="50"/>
      <c r="Q14" s="50"/>
      <c r="R14" s="5" t="s">
        <v>11</v>
      </c>
      <c r="S14" s="61" t="s">
        <v>11</v>
      </c>
      <c r="T14" s="50"/>
      <c r="U14" s="50"/>
      <c r="V14" s="50"/>
      <c r="W14" s="62">
        <v>51910493</v>
      </c>
      <c r="X14" s="50"/>
      <c r="Y14" s="50"/>
      <c r="Z14" s="62">
        <v>55026299</v>
      </c>
      <c r="AA14" s="50"/>
      <c r="AB14" s="50"/>
      <c r="AC14" s="50"/>
      <c r="AD14" s="61">
        <v>0.66</v>
      </c>
      <c r="AE14" s="50"/>
      <c r="AF14" s="50"/>
      <c r="AG14" s="50"/>
      <c r="AH14" s="61">
        <v>0.57999999999999996</v>
      </c>
      <c r="AI14" s="50"/>
      <c r="AJ14" s="61" t="s">
        <v>118</v>
      </c>
      <c r="AK14" s="50"/>
    </row>
    <row r="15" spans="1:37">
      <c r="A15" s="60" t="s">
        <v>38</v>
      </c>
      <c r="B15" s="50"/>
      <c r="C15" s="50"/>
      <c r="D15" s="4">
        <v>3461</v>
      </c>
      <c r="E15" s="62">
        <v>3244</v>
      </c>
      <c r="F15" s="50"/>
      <c r="G15" s="50"/>
      <c r="H15" s="50"/>
      <c r="I15" s="61">
        <v>375.2</v>
      </c>
      <c r="J15" s="50"/>
      <c r="K15" s="61">
        <v>382.4</v>
      </c>
      <c r="L15" s="50"/>
      <c r="M15" s="50"/>
      <c r="N15" s="61">
        <v>0.92</v>
      </c>
      <c r="O15" s="50"/>
      <c r="P15" s="50"/>
      <c r="Q15" s="50"/>
      <c r="R15" s="5">
        <v>0.85</v>
      </c>
      <c r="S15" s="61" t="s">
        <v>119</v>
      </c>
      <c r="T15" s="50"/>
      <c r="U15" s="50"/>
      <c r="V15" s="50"/>
      <c r="W15" s="62">
        <v>46493161</v>
      </c>
      <c r="X15" s="50"/>
      <c r="Y15" s="50"/>
      <c r="Z15" s="62">
        <v>48298911</v>
      </c>
      <c r="AA15" s="50"/>
      <c r="AB15" s="50"/>
      <c r="AC15" s="50"/>
      <c r="AD15" s="61">
        <v>0.74</v>
      </c>
      <c r="AE15" s="50"/>
      <c r="AF15" s="50"/>
      <c r="AG15" s="50"/>
      <c r="AH15" s="61">
        <v>0.67</v>
      </c>
      <c r="AI15" s="50"/>
      <c r="AJ15" s="61" t="s">
        <v>120</v>
      </c>
      <c r="AK15" s="50"/>
    </row>
    <row r="16" spans="1:37">
      <c r="A16" s="60" t="s">
        <v>121</v>
      </c>
      <c r="B16" s="50"/>
      <c r="C16" s="50"/>
      <c r="D16" s="5">
        <v>120</v>
      </c>
      <c r="E16" s="61">
        <v>102</v>
      </c>
      <c r="F16" s="50"/>
      <c r="G16" s="50"/>
      <c r="H16" s="50"/>
      <c r="I16" s="61" t="s">
        <v>11</v>
      </c>
      <c r="J16" s="50"/>
      <c r="K16" s="61">
        <v>14</v>
      </c>
      <c r="L16" s="50"/>
      <c r="M16" s="50"/>
      <c r="N16" s="61" t="s">
        <v>11</v>
      </c>
      <c r="O16" s="50"/>
      <c r="P16" s="50"/>
      <c r="Q16" s="50"/>
      <c r="R16" s="5">
        <v>0.73</v>
      </c>
      <c r="S16" s="61" t="s">
        <v>11</v>
      </c>
      <c r="T16" s="50"/>
      <c r="U16" s="50"/>
      <c r="V16" s="50"/>
      <c r="W16" s="62">
        <v>1372751</v>
      </c>
      <c r="X16" s="50"/>
      <c r="Y16" s="50"/>
      <c r="Z16" s="62">
        <v>1515329</v>
      </c>
      <c r="AA16" s="50"/>
      <c r="AB16" s="50"/>
      <c r="AC16" s="50"/>
      <c r="AD16" s="61">
        <v>0.87</v>
      </c>
      <c r="AE16" s="50"/>
      <c r="AF16" s="50"/>
      <c r="AG16" s="50"/>
      <c r="AH16" s="61">
        <v>0.67</v>
      </c>
      <c r="AI16" s="50"/>
      <c r="AJ16" s="61" t="s">
        <v>122</v>
      </c>
      <c r="AK16" s="50"/>
    </row>
    <row r="17" spans="1:37">
      <c r="A17" s="60" t="s">
        <v>43</v>
      </c>
      <c r="B17" s="50"/>
      <c r="C17" s="50"/>
      <c r="D17" s="5">
        <v>479</v>
      </c>
      <c r="E17" s="61">
        <v>416</v>
      </c>
      <c r="F17" s="50"/>
      <c r="G17" s="50"/>
      <c r="H17" s="50"/>
      <c r="I17" s="61">
        <v>47.9</v>
      </c>
      <c r="J17" s="50"/>
      <c r="K17" s="61">
        <v>52.8</v>
      </c>
      <c r="L17" s="50"/>
      <c r="M17" s="50"/>
      <c r="N17" s="61">
        <v>1</v>
      </c>
      <c r="O17" s="50"/>
      <c r="P17" s="50"/>
      <c r="Q17" s="50"/>
      <c r="R17" s="5">
        <v>0.79</v>
      </c>
      <c r="S17" s="61" t="s">
        <v>123</v>
      </c>
      <c r="T17" s="50"/>
      <c r="U17" s="50"/>
      <c r="V17" s="50"/>
      <c r="W17" s="62">
        <v>6466166</v>
      </c>
      <c r="X17" s="50"/>
      <c r="Y17" s="50"/>
      <c r="Z17" s="62">
        <v>6895596</v>
      </c>
      <c r="AA17" s="50"/>
      <c r="AB17" s="50"/>
      <c r="AC17" s="50"/>
      <c r="AD17" s="61">
        <v>0.74</v>
      </c>
      <c r="AE17" s="50"/>
      <c r="AF17" s="50"/>
      <c r="AG17" s="50"/>
      <c r="AH17" s="61">
        <v>0.6</v>
      </c>
      <c r="AI17" s="50"/>
      <c r="AJ17" s="61" t="s">
        <v>18</v>
      </c>
      <c r="AK17" s="50"/>
    </row>
    <row r="18" spans="1:37">
      <c r="A18" s="60" t="s">
        <v>45</v>
      </c>
      <c r="B18" s="50"/>
      <c r="C18" s="50"/>
      <c r="D18" s="4">
        <v>1887</v>
      </c>
      <c r="E18" s="62">
        <v>1762</v>
      </c>
      <c r="F18" s="50"/>
      <c r="G18" s="50"/>
      <c r="H18" s="50"/>
      <c r="I18" s="61">
        <v>227.3</v>
      </c>
      <c r="J18" s="50"/>
      <c r="K18" s="61">
        <v>248.3</v>
      </c>
      <c r="L18" s="50"/>
      <c r="M18" s="50"/>
      <c r="N18" s="61">
        <v>0.83</v>
      </c>
      <c r="O18" s="50"/>
      <c r="P18" s="50"/>
      <c r="Q18" s="50"/>
      <c r="R18" s="5">
        <v>0.71</v>
      </c>
      <c r="S18" s="61" t="s">
        <v>124</v>
      </c>
      <c r="T18" s="50"/>
      <c r="U18" s="50"/>
      <c r="V18" s="50"/>
      <c r="W18" s="62">
        <v>23923806</v>
      </c>
      <c r="X18" s="50"/>
      <c r="Y18" s="50"/>
      <c r="Z18" s="62">
        <v>25422635</v>
      </c>
      <c r="AA18" s="50"/>
      <c r="AB18" s="50"/>
      <c r="AC18" s="50"/>
      <c r="AD18" s="61">
        <v>0.79</v>
      </c>
      <c r="AE18" s="50"/>
      <c r="AF18" s="50"/>
      <c r="AG18" s="50"/>
      <c r="AH18" s="61">
        <v>0.69</v>
      </c>
      <c r="AI18" s="50"/>
      <c r="AJ18" s="61" t="s">
        <v>125</v>
      </c>
      <c r="AK18" s="50"/>
    </row>
    <row r="19" spans="1:37">
      <c r="A19" s="60" t="s">
        <v>48</v>
      </c>
      <c r="B19" s="50"/>
      <c r="C19" s="50"/>
      <c r="D19" s="4">
        <v>1205</v>
      </c>
      <c r="E19" s="62">
        <v>1187</v>
      </c>
      <c r="F19" s="50"/>
      <c r="G19" s="50"/>
      <c r="H19" s="50"/>
      <c r="I19" s="61">
        <v>154.4</v>
      </c>
      <c r="J19" s="50"/>
      <c r="K19" s="61">
        <v>162.80000000000001</v>
      </c>
      <c r="L19" s="50"/>
      <c r="M19" s="50"/>
      <c r="N19" s="61">
        <v>0.78</v>
      </c>
      <c r="O19" s="50"/>
      <c r="P19" s="50"/>
      <c r="Q19" s="50"/>
      <c r="R19" s="5">
        <v>0.73</v>
      </c>
      <c r="S19" s="61" t="s">
        <v>46</v>
      </c>
      <c r="T19" s="50"/>
      <c r="U19" s="50"/>
      <c r="V19" s="50"/>
      <c r="W19" s="62">
        <v>18007767</v>
      </c>
      <c r="X19" s="50"/>
      <c r="Y19" s="50"/>
      <c r="Z19" s="62">
        <v>19505241</v>
      </c>
      <c r="AA19" s="50"/>
      <c r="AB19" s="50"/>
      <c r="AC19" s="50"/>
      <c r="AD19" s="61">
        <v>0.67</v>
      </c>
      <c r="AE19" s="50"/>
      <c r="AF19" s="50"/>
      <c r="AG19" s="50"/>
      <c r="AH19" s="61">
        <v>0.61</v>
      </c>
      <c r="AI19" s="50"/>
      <c r="AJ19" s="61" t="s">
        <v>126</v>
      </c>
      <c r="AK19" s="50"/>
    </row>
    <row r="20" spans="1:37">
      <c r="A20" s="60" t="s">
        <v>51</v>
      </c>
      <c r="B20" s="50"/>
      <c r="C20" s="50"/>
      <c r="D20" s="5">
        <v>356</v>
      </c>
      <c r="E20" s="61">
        <v>355</v>
      </c>
      <c r="F20" s="50"/>
      <c r="G20" s="50"/>
      <c r="H20" s="50"/>
      <c r="I20" s="61">
        <v>34.1</v>
      </c>
      <c r="J20" s="50"/>
      <c r="K20" s="61">
        <v>39.299999999999997</v>
      </c>
      <c r="L20" s="50"/>
      <c r="M20" s="50"/>
      <c r="N20" s="61">
        <v>1.05</v>
      </c>
      <c r="O20" s="50"/>
      <c r="P20" s="50"/>
      <c r="Q20" s="50"/>
      <c r="R20" s="5">
        <v>0.9</v>
      </c>
      <c r="S20" s="61" t="s">
        <v>127</v>
      </c>
      <c r="T20" s="50"/>
      <c r="U20" s="50"/>
      <c r="V20" s="50"/>
      <c r="W20" s="62">
        <v>3091636</v>
      </c>
      <c r="X20" s="50"/>
      <c r="Y20" s="50"/>
      <c r="Z20" s="62">
        <v>3600693</v>
      </c>
      <c r="AA20" s="50"/>
      <c r="AB20" s="50"/>
      <c r="AC20" s="50"/>
      <c r="AD20" s="61">
        <v>1.1499999999999999</v>
      </c>
      <c r="AE20" s="50"/>
      <c r="AF20" s="50"/>
      <c r="AG20" s="50"/>
      <c r="AH20" s="61">
        <v>0.99</v>
      </c>
      <c r="AI20" s="50"/>
      <c r="AJ20" s="61" t="s">
        <v>128</v>
      </c>
      <c r="AK20" s="50"/>
    </row>
    <row r="21" spans="1:37">
      <c r="A21" s="60" t="s">
        <v>53</v>
      </c>
      <c r="B21" s="50"/>
      <c r="C21" s="50"/>
      <c r="D21" s="5">
        <v>621</v>
      </c>
      <c r="E21" s="61">
        <v>661</v>
      </c>
      <c r="F21" s="50"/>
      <c r="G21" s="50"/>
      <c r="H21" s="50"/>
      <c r="I21" s="61">
        <v>80.5</v>
      </c>
      <c r="J21" s="50"/>
      <c r="K21" s="61">
        <v>85.5</v>
      </c>
      <c r="L21" s="50"/>
      <c r="M21" s="50"/>
      <c r="N21" s="61">
        <v>0.77</v>
      </c>
      <c r="O21" s="50"/>
      <c r="P21" s="50"/>
      <c r="Q21" s="50"/>
      <c r="R21" s="5">
        <v>0.77</v>
      </c>
      <c r="S21" s="61">
        <v>0.2</v>
      </c>
      <c r="T21" s="50"/>
      <c r="U21" s="50"/>
      <c r="V21" s="50"/>
      <c r="W21" s="62">
        <v>10775799</v>
      </c>
      <c r="X21" s="50"/>
      <c r="Y21" s="50"/>
      <c r="Z21" s="62">
        <v>11553132</v>
      </c>
      <c r="AA21" s="50"/>
      <c r="AB21" s="50"/>
      <c r="AC21" s="50"/>
      <c r="AD21" s="61">
        <v>0.57999999999999996</v>
      </c>
      <c r="AE21" s="50"/>
      <c r="AF21" s="50"/>
      <c r="AG21" s="50"/>
      <c r="AH21" s="61">
        <v>0.56999999999999995</v>
      </c>
      <c r="AI21" s="50"/>
      <c r="AJ21" s="61" t="s">
        <v>129</v>
      </c>
      <c r="AK21" s="50"/>
    </row>
    <row r="22" spans="1:37">
      <c r="A22" s="60" t="s">
        <v>130</v>
      </c>
      <c r="B22" s="50"/>
      <c r="C22" s="50"/>
      <c r="D22" s="5">
        <v>270</v>
      </c>
      <c r="E22" s="61">
        <v>211</v>
      </c>
      <c r="F22" s="50"/>
      <c r="G22" s="50"/>
      <c r="H22" s="50"/>
      <c r="I22" s="61" t="s">
        <v>11</v>
      </c>
      <c r="J22" s="50"/>
      <c r="K22" s="61">
        <v>31.3</v>
      </c>
      <c r="L22" s="50"/>
      <c r="M22" s="50"/>
      <c r="N22" s="61" t="s">
        <v>11</v>
      </c>
      <c r="O22" s="50"/>
      <c r="P22" s="50"/>
      <c r="Q22" s="50"/>
      <c r="R22" s="5">
        <v>0.67</v>
      </c>
      <c r="S22" s="61" t="s">
        <v>11</v>
      </c>
      <c r="T22" s="50"/>
      <c r="U22" s="50"/>
      <c r="V22" s="50"/>
      <c r="W22" s="62">
        <v>4429000</v>
      </c>
      <c r="X22" s="50"/>
      <c r="Y22" s="50"/>
      <c r="Z22" s="62">
        <v>4878000</v>
      </c>
      <c r="AA22" s="50"/>
      <c r="AB22" s="50"/>
      <c r="AC22" s="50"/>
      <c r="AD22" s="61">
        <v>0.61</v>
      </c>
      <c r="AE22" s="50"/>
      <c r="AF22" s="50"/>
      <c r="AG22" s="50"/>
      <c r="AH22" s="61">
        <v>0.43</v>
      </c>
      <c r="AI22" s="50"/>
      <c r="AJ22" s="61" t="s">
        <v>131</v>
      </c>
      <c r="AK22" s="50"/>
    </row>
    <row r="23" spans="1:37">
      <c r="A23" s="60" t="s">
        <v>57</v>
      </c>
      <c r="B23" s="50"/>
      <c r="C23" s="50"/>
      <c r="D23" s="4">
        <v>1689</v>
      </c>
      <c r="E23" s="62">
        <v>1755</v>
      </c>
      <c r="F23" s="50"/>
      <c r="G23" s="50"/>
      <c r="H23" s="50"/>
      <c r="I23" s="61" t="s">
        <v>11</v>
      </c>
      <c r="J23" s="50"/>
      <c r="K23" s="61" t="s">
        <v>11</v>
      </c>
      <c r="L23" s="50"/>
      <c r="M23" s="50"/>
      <c r="N23" s="61" t="s">
        <v>11</v>
      </c>
      <c r="O23" s="50"/>
      <c r="P23" s="50"/>
      <c r="Q23" s="50"/>
      <c r="R23" s="5" t="s">
        <v>11</v>
      </c>
      <c r="S23" s="61" t="s">
        <v>11</v>
      </c>
      <c r="T23" s="50"/>
      <c r="U23" s="50"/>
      <c r="V23" s="50"/>
      <c r="W23" s="62">
        <v>33412894</v>
      </c>
      <c r="X23" s="50"/>
      <c r="Y23" s="50"/>
      <c r="Z23" s="62">
        <v>36343283</v>
      </c>
      <c r="AA23" s="50"/>
      <c r="AB23" s="50"/>
      <c r="AC23" s="50"/>
      <c r="AD23" s="61">
        <v>0.51</v>
      </c>
      <c r="AE23" s="50"/>
      <c r="AF23" s="50"/>
      <c r="AG23" s="50"/>
      <c r="AH23" s="61">
        <v>0.48</v>
      </c>
      <c r="AI23" s="50"/>
      <c r="AJ23" s="61" t="s">
        <v>132</v>
      </c>
      <c r="AK23" s="50"/>
    </row>
    <row r="24" spans="1:37">
      <c r="A24" s="60" t="s">
        <v>133</v>
      </c>
      <c r="B24" s="50"/>
      <c r="C24" s="50"/>
      <c r="D24" s="4">
        <v>3459</v>
      </c>
      <c r="E24" s="62">
        <v>3046</v>
      </c>
      <c r="F24" s="50"/>
      <c r="G24" s="50"/>
      <c r="H24" s="50"/>
      <c r="I24" s="61" t="s">
        <v>11</v>
      </c>
      <c r="J24" s="50"/>
      <c r="K24" s="61">
        <v>469.1</v>
      </c>
      <c r="L24" s="50"/>
      <c r="M24" s="50"/>
      <c r="N24" s="61" t="s">
        <v>11</v>
      </c>
      <c r="O24" s="50"/>
      <c r="P24" s="50"/>
      <c r="Q24" s="50"/>
      <c r="R24" s="5">
        <v>0.65</v>
      </c>
      <c r="S24" s="61" t="s">
        <v>11</v>
      </c>
      <c r="T24" s="50"/>
      <c r="U24" s="50"/>
      <c r="V24" s="50"/>
      <c r="W24" s="62">
        <v>53716000</v>
      </c>
      <c r="X24" s="50"/>
      <c r="Y24" s="50"/>
      <c r="Z24" s="62">
        <v>57305201</v>
      </c>
      <c r="AA24" s="50"/>
      <c r="AB24" s="50"/>
      <c r="AC24" s="50"/>
      <c r="AD24" s="61">
        <v>0.64</v>
      </c>
      <c r="AE24" s="50"/>
      <c r="AF24" s="50"/>
      <c r="AG24" s="50"/>
      <c r="AH24" s="61">
        <v>0.53</v>
      </c>
      <c r="AI24" s="50"/>
      <c r="AJ24" s="61" t="s">
        <v>134</v>
      </c>
      <c r="AK24" s="50"/>
    </row>
    <row r="25" spans="1:37">
      <c r="A25" s="60" t="s">
        <v>61</v>
      </c>
      <c r="B25" s="50"/>
      <c r="C25" s="50"/>
      <c r="D25" s="5">
        <v>178</v>
      </c>
      <c r="E25" s="61">
        <v>199</v>
      </c>
      <c r="F25" s="50"/>
      <c r="G25" s="50"/>
      <c r="H25" s="50"/>
      <c r="I25" s="61">
        <v>32.4</v>
      </c>
      <c r="J25" s="50"/>
      <c r="K25" s="61">
        <v>34.200000000000003</v>
      </c>
      <c r="L25" s="50"/>
      <c r="M25" s="50"/>
      <c r="N25" s="61">
        <v>0.55000000000000004</v>
      </c>
      <c r="O25" s="50"/>
      <c r="P25" s="50"/>
      <c r="Q25" s="50"/>
      <c r="R25" s="5">
        <v>0.57999999999999996</v>
      </c>
      <c r="S25" s="61">
        <v>5.9</v>
      </c>
      <c r="T25" s="50"/>
      <c r="U25" s="50"/>
      <c r="V25" s="50"/>
      <c r="W25" s="61" t="s">
        <v>135</v>
      </c>
      <c r="X25" s="50"/>
      <c r="Y25" s="50"/>
      <c r="Z25" s="62">
        <v>3290000</v>
      </c>
      <c r="AA25" s="50"/>
      <c r="AB25" s="50"/>
      <c r="AC25" s="50"/>
      <c r="AD25" s="61">
        <v>0.59</v>
      </c>
      <c r="AE25" s="50"/>
      <c r="AF25" s="50"/>
      <c r="AG25" s="50"/>
      <c r="AH25" s="61">
        <v>0.6</v>
      </c>
      <c r="AI25" s="50"/>
      <c r="AJ25" s="61">
        <v>2.9</v>
      </c>
      <c r="AK25" s="50"/>
    </row>
    <row r="26" spans="1:37">
      <c r="A26" s="60" t="s">
        <v>62</v>
      </c>
      <c r="B26" s="50"/>
      <c r="C26" s="50"/>
      <c r="D26" s="4">
        <v>4885</v>
      </c>
      <c r="E26" s="62">
        <v>3920</v>
      </c>
      <c r="F26" s="50"/>
      <c r="G26" s="50"/>
      <c r="H26" s="50"/>
      <c r="I26" s="61">
        <v>454.2</v>
      </c>
      <c r="J26" s="50"/>
      <c r="K26" s="61">
        <v>462.7</v>
      </c>
      <c r="L26" s="50"/>
      <c r="M26" s="50"/>
      <c r="N26" s="61">
        <v>1.08</v>
      </c>
      <c r="O26" s="50"/>
      <c r="P26" s="50"/>
      <c r="Q26" s="50"/>
      <c r="R26" s="5">
        <v>0.85</v>
      </c>
      <c r="S26" s="61" t="s">
        <v>136</v>
      </c>
      <c r="T26" s="50"/>
      <c r="U26" s="50"/>
      <c r="V26" s="50"/>
      <c r="W26" s="62">
        <v>91315870</v>
      </c>
      <c r="X26" s="50"/>
      <c r="Y26" s="50"/>
      <c r="Z26" s="62">
        <v>91457940</v>
      </c>
      <c r="AA26" s="50"/>
      <c r="AB26" s="50"/>
      <c r="AC26" s="50"/>
      <c r="AD26" s="61">
        <v>0.53</v>
      </c>
      <c r="AE26" s="50"/>
      <c r="AF26" s="50"/>
      <c r="AG26" s="50"/>
      <c r="AH26" s="61">
        <v>0.43</v>
      </c>
      <c r="AI26" s="50"/>
      <c r="AJ26" s="61" t="s">
        <v>137</v>
      </c>
      <c r="AK26" s="50"/>
    </row>
    <row r="27" spans="1:37">
      <c r="A27" s="60" t="s">
        <v>65</v>
      </c>
      <c r="B27" s="50"/>
      <c r="C27" s="50"/>
      <c r="D27" s="5">
        <v>162</v>
      </c>
      <c r="E27" s="61">
        <v>140</v>
      </c>
      <c r="F27" s="50"/>
      <c r="G27" s="50"/>
      <c r="H27" s="50"/>
      <c r="I27" s="61">
        <v>28.6</v>
      </c>
      <c r="J27" s="50"/>
      <c r="K27" s="61">
        <v>29.2</v>
      </c>
      <c r="L27" s="50"/>
      <c r="M27" s="50"/>
      <c r="N27" s="61">
        <v>0.56999999999999995</v>
      </c>
      <c r="O27" s="50"/>
      <c r="P27" s="50"/>
      <c r="Q27" s="50"/>
      <c r="R27" s="5">
        <v>0.48</v>
      </c>
      <c r="S27" s="61" t="s">
        <v>138</v>
      </c>
      <c r="T27" s="50"/>
      <c r="U27" s="50"/>
      <c r="V27" s="50"/>
      <c r="W27" s="62">
        <v>2570294</v>
      </c>
      <c r="X27" s="50"/>
      <c r="Y27" s="50"/>
      <c r="Z27" s="62">
        <v>2805839</v>
      </c>
      <c r="AA27" s="50"/>
      <c r="AB27" s="50"/>
      <c r="AC27" s="50"/>
      <c r="AD27" s="61">
        <v>0.63</v>
      </c>
      <c r="AE27" s="50"/>
      <c r="AF27" s="50"/>
      <c r="AG27" s="50"/>
      <c r="AH27" s="61">
        <v>0.5</v>
      </c>
      <c r="AI27" s="50"/>
      <c r="AJ27" s="61" t="s">
        <v>139</v>
      </c>
      <c r="AK27" s="50"/>
    </row>
    <row r="28" spans="1:37">
      <c r="A28" s="60" t="s">
        <v>68</v>
      </c>
      <c r="B28" s="50"/>
      <c r="C28" s="50"/>
      <c r="D28" s="4">
        <v>1804</v>
      </c>
      <c r="E28" s="62">
        <v>1808</v>
      </c>
      <c r="F28" s="50"/>
      <c r="G28" s="50"/>
      <c r="H28" s="50"/>
      <c r="I28" s="61" t="s">
        <v>11</v>
      </c>
      <c r="J28" s="50"/>
      <c r="K28" s="61" t="s">
        <v>11</v>
      </c>
      <c r="L28" s="50"/>
      <c r="M28" s="50"/>
      <c r="N28" s="61" t="s">
        <v>11</v>
      </c>
      <c r="O28" s="50"/>
      <c r="P28" s="50"/>
      <c r="Q28" s="50"/>
      <c r="R28" s="5" t="s">
        <v>11</v>
      </c>
      <c r="S28" s="61" t="s">
        <v>11</v>
      </c>
      <c r="T28" s="50"/>
      <c r="U28" s="50"/>
      <c r="V28" s="50"/>
      <c r="W28" s="62">
        <v>37570487</v>
      </c>
      <c r="X28" s="50"/>
      <c r="Y28" s="50"/>
      <c r="Z28" s="62">
        <v>39890719</v>
      </c>
      <c r="AA28" s="50"/>
      <c r="AB28" s="50"/>
      <c r="AC28" s="50"/>
      <c r="AD28" s="61">
        <v>0.48</v>
      </c>
      <c r="AE28" s="50"/>
      <c r="AF28" s="50"/>
      <c r="AG28" s="50"/>
      <c r="AH28" s="61">
        <v>0.45</v>
      </c>
      <c r="AI28" s="50"/>
      <c r="AJ28" s="61" t="s">
        <v>140</v>
      </c>
      <c r="AK28" s="50"/>
    </row>
    <row r="29" spans="1:37">
      <c r="A29" s="60" t="s">
        <v>70</v>
      </c>
      <c r="B29" s="50"/>
      <c r="C29" s="50"/>
      <c r="D29" s="5">
        <v>253</v>
      </c>
      <c r="E29" s="61">
        <v>187</v>
      </c>
      <c r="F29" s="50"/>
      <c r="G29" s="50"/>
      <c r="H29" s="50"/>
      <c r="I29" s="61">
        <v>40.6</v>
      </c>
      <c r="J29" s="50"/>
      <c r="K29" s="61">
        <v>43.1</v>
      </c>
      <c r="L29" s="50"/>
      <c r="M29" s="50"/>
      <c r="N29" s="61">
        <v>0.62</v>
      </c>
      <c r="O29" s="50"/>
      <c r="P29" s="50"/>
      <c r="Q29" s="50"/>
      <c r="R29" s="5">
        <v>0.43</v>
      </c>
      <c r="S29" s="61" t="s">
        <v>141</v>
      </c>
      <c r="T29" s="50"/>
      <c r="U29" s="50"/>
      <c r="V29" s="50"/>
      <c r="W29" s="62">
        <v>6046934</v>
      </c>
      <c r="X29" s="50"/>
      <c r="Y29" s="50"/>
      <c r="Z29" s="62">
        <v>6371545</v>
      </c>
      <c r="AA29" s="50"/>
      <c r="AB29" s="50"/>
      <c r="AC29" s="50"/>
      <c r="AD29" s="61">
        <v>0.42</v>
      </c>
      <c r="AE29" s="50"/>
      <c r="AF29" s="50"/>
      <c r="AG29" s="50"/>
      <c r="AH29" s="61">
        <v>0.28999999999999998</v>
      </c>
      <c r="AI29" s="50"/>
      <c r="AJ29" s="61" t="s">
        <v>111</v>
      </c>
      <c r="AK29" s="50"/>
    </row>
    <row r="30" spans="1:37">
      <c r="A30" s="60" t="s">
        <v>73</v>
      </c>
      <c r="B30" s="50"/>
      <c r="C30" s="50"/>
      <c r="D30" s="5">
        <v>259</v>
      </c>
      <c r="E30" s="61">
        <v>221</v>
      </c>
      <c r="F30" s="50"/>
      <c r="G30" s="50"/>
      <c r="H30" s="50"/>
      <c r="I30" s="61">
        <v>50.2</v>
      </c>
      <c r="J30" s="50"/>
      <c r="K30" s="61">
        <v>52</v>
      </c>
      <c r="L30" s="50"/>
      <c r="M30" s="50"/>
      <c r="N30" s="61">
        <v>0.52</v>
      </c>
      <c r="O30" s="50"/>
      <c r="P30" s="50"/>
      <c r="Q30" s="50"/>
      <c r="R30" s="5">
        <v>0.42</v>
      </c>
      <c r="S30" s="61" t="s">
        <v>142</v>
      </c>
      <c r="T30" s="50"/>
      <c r="U30" s="50"/>
      <c r="V30" s="50"/>
      <c r="W30" s="61" t="s">
        <v>143</v>
      </c>
      <c r="X30" s="50"/>
      <c r="Y30" s="50"/>
      <c r="Z30" s="62">
        <v>6363944</v>
      </c>
      <c r="AA30" s="50"/>
      <c r="AB30" s="50"/>
      <c r="AC30" s="50"/>
      <c r="AD30" s="61">
        <v>0.43</v>
      </c>
      <c r="AE30" s="50"/>
      <c r="AF30" s="50"/>
      <c r="AG30" s="50"/>
      <c r="AH30" s="61">
        <v>0.35</v>
      </c>
      <c r="AI30" s="50"/>
      <c r="AJ30" s="61" t="s">
        <v>144</v>
      </c>
      <c r="AK30" s="50"/>
    </row>
    <row r="31" spans="1:37">
      <c r="A31" s="60" t="s">
        <v>76</v>
      </c>
      <c r="B31" s="50"/>
      <c r="C31" s="50"/>
      <c r="D31" s="5">
        <v>117</v>
      </c>
      <c r="E31" s="61">
        <v>108</v>
      </c>
      <c r="F31" s="50"/>
      <c r="G31" s="50"/>
      <c r="H31" s="50"/>
      <c r="I31" s="61">
        <v>27.5</v>
      </c>
      <c r="J31" s="50"/>
      <c r="K31" s="61">
        <v>28.7</v>
      </c>
      <c r="L31" s="50"/>
      <c r="M31" s="50"/>
      <c r="N31" s="61">
        <v>0.43</v>
      </c>
      <c r="O31" s="50"/>
      <c r="P31" s="50"/>
      <c r="Q31" s="50"/>
      <c r="R31" s="5">
        <v>0.38</v>
      </c>
      <c r="S31" s="61" t="s">
        <v>110</v>
      </c>
      <c r="T31" s="50"/>
      <c r="U31" s="50"/>
      <c r="V31" s="50"/>
      <c r="W31" s="62">
        <v>3812144</v>
      </c>
      <c r="X31" s="50"/>
      <c r="Y31" s="50"/>
      <c r="Z31" s="62">
        <v>4049449</v>
      </c>
      <c r="AA31" s="50"/>
      <c r="AB31" s="50"/>
      <c r="AC31" s="50"/>
      <c r="AD31" s="61">
        <v>0.31</v>
      </c>
      <c r="AE31" s="50"/>
      <c r="AF31" s="50"/>
      <c r="AG31" s="50"/>
      <c r="AH31" s="61">
        <v>0.27</v>
      </c>
      <c r="AI31" s="50"/>
      <c r="AJ31" s="61" t="s">
        <v>145</v>
      </c>
      <c r="AK31" s="50"/>
    </row>
    <row r="32" spans="1:37">
      <c r="A32" s="67" t="s">
        <v>79</v>
      </c>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c r="A33" s="60" t="s">
        <v>146</v>
      </c>
      <c r="B33" s="50"/>
      <c r="C33" s="50"/>
      <c r="D33" s="4">
        <v>2636</v>
      </c>
      <c r="E33" s="62">
        <v>2506</v>
      </c>
      <c r="F33" s="50"/>
      <c r="G33" s="50"/>
      <c r="H33" s="50"/>
      <c r="I33" s="61">
        <v>282.60000000000002</v>
      </c>
      <c r="J33" s="50"/>
      <c r="K33" s="61">
        <v>278.7</v>
      </c>
      <c r="L33" s="50"/>
      <c r="M33" s="50"/>
      <c r="N33" s="61">
        <v>1.0900000000000001</v>
      </c>
      <c r="O33" s="50"/>
      <c r="P33" s="50"/>
      <c r="Q33" s="50"/>
      <c r="R33" s="5">
        <v>0.93</v>
      </c>
      <c r="S33" s="61" t="s">
        <v>66</v>
      </c>
      <c r="T33" s="50"/>
      <c r="U33" s="50"/>
      <c r="V33" s="50"/>
      <c r="W33" s="62">
        <v>27618884</v>
      </c>
      <c r="X33" s="50"/>
      <c r="Y33" s="50"/>
      <c r="Z33" s="62">
        <v>29437379</v>
      </c>
      <c r="AA33" s="50"/>
      <c r="AB33" s="50"/>
      <c r="AC33" s="50"/>
      <c r="AD33" s="61">
        <v>0.84</v>
      </c>
      <c r="AE33" s="50"/>
      <c r="AF33" s="50"/>
      <c r="AG33" s="50"/>
      <c r="AH33" s="61">
        <v>0.79</v>
      </c>
      <c r="AI33" s="50"/>
      <c r="AJ33" s="61" t="s">
        <v>147</v>
      </c>
      <c r="AK33" s="50"/>
    </row>
    <row r="34" spans="1:37">
      <c r="A34" s="60" t="s">
        <v>148</v>
      </c>
      <c r="B34" s="50"/>
      <c r="C34" s="50"/>
      <c r="D34" s="5">
        <v>735</v>
      </c>
      <c r="E34" s="61">
        <v>653</v>
      </c>
      <c r="F34" s="50"/>
      <c r="G34" s="50"/>
      <c r="H34" s="50"/>
      <c r="I34" s="61">
        <v>56.2</v>
      </c>
      <c r="J34" s="50"/>
      <c r="K34" s="61">
        <v>52</v>
      </c>
      <c r="L34" s="50"/>
      <c r="M34" s="50"/>
      <c r="N34" s="61">
        <v>0.96</v>
      </c>
      <c r="O34" s="50"/>
      <c r="P34" s="50"/>
      <c r="Q34" s="50"/>
      <c r="R34" s="5">
        <v>0.77</v>
      </c>
      <c r="S34" s="61" t="s">
        <v>127</v>
      </c>
      <c r="T34" s="50"/>
      <c r="U34" s="50"/>
      <c r="V34" s="50"/>
      <c r="W34" s="62">
        <v>6837031</v>
      </c>
      <c r="X34" s="50"/>
      <c r="Y34" s="50"/>
      <c r="Z34" s="62">
        <v>7628541</v>
      </c>
      <c r="AA34" s="50"/>
      <c r="AB34" s="50"/>
      <c r="AC34" s="50"/>
      <c r="AD34" s="61">
        <v>0.74</v>
      </c>
      <c r="AE34" s="50"/>
      <c r="AF34" s="50"/>
      <c r="AG34" s="50"/>
      <c r="AH34" s="61">
        <v>0.64</v>
      </c>
      <c r="AI34" s="50"/>
      <c r="AJ34" s="61" t="s">
        <v>114</v>
      </c>
      <c r="AK34" s="50"/>
    </row>
    <row r="35" spans="1:37">
      <c r="A35" s="60" t="s">
        <v>86</v>
      </c>
      <c r="B35" s="50"/>
      <c r="C35" s="50"/>
      <c r="D35" s="5">
        <v>117</v>
      </c>
      <c r="E35" s="61">
        <v>102</v>
      </c>
      <c r="F35" s="50"/>
      <c r="G35" s="50"/>
      <c r="H35" s="50"/>
      <c r="I35" s="61">
        <v>26.9</v>
      </c>
      <c r="J35" s="50"/>
      <c r="K35" s="61">
        <v>14</v>
      </c>
      <c r="L35" s="50"/>
      <c r="M35" s="50"/>
      <c r="N35" s="61">
        <v>0.43</v>
      </c>
      <c r="O35" s="50"/>
      <c r="P35" s="50"/>
      <c r="Q35" s="50"/>
      <c r="R35" s="5">
        <v>0.38</v>
      </c>
      <c r="S35" s="61" t="s">
        <v>112</v>
      </c>
      <c r="T35" s="50"/>
      <c r="U35" s="50"/>
      <c r="V35" s="50"/>
      <c r="W35" s="62">
        <v>1372751</v>
      </c>
      <c r="X35" s="50"/>
      <c r="Y35" s="50"/>
      <c r="Z35" s="62">
        <v>1515329</v>
      </c>
      <c r="AA35" s="50"/>
      <c r="AB35" s="50"/>
      <c r="AC35" s="50"/>
      <c r="AD35" s="61">
        <v>0.31</v>
      </c>
      <c r="AE35" s="50"/>
      <c r="AF35" s="50"/>
      <c r="AG35" s="50"/>
      <c r="AH35" s="61">
        <v>0.27</v>
      </c>
      <c r="AI35" s="50"/>
      <c r="AJ35" s="61" t="s">
        <v>113</v>
      </c>
      <c r="AK35" s="50"/>
    </row>
    <row r="36" spans="1:37">
      <c r="A36" s="60" t="s">
        <v>87</v>
      </c>
      <c r="B36" s="50"/>
      <c r="C36" s="50"/>
      <c r="D36" s="4">
        <v>35484</v>
      </c>
      <c r="E36" s="62">
        <v>36355</v>
      </c>
      <c r="F36" s="50"/>
      <c r="G36" s="50"/>
      <c r="H36" s="50"/>
      <c r="I36" s="66">
        <v>3089.8</v>
      </c>
      <c r="J36" s="50"/>
      <c r="K36" s="66">
        <v>3261.8</v>
      </c>
      <c r="L36" s="50"/>
      <c r="M36" s="50"/>
      <c r="N36" s="61">
        <v>2.4900000000000002</v>
      </c>
      <c r="O36" s="50"/>
      <c r="P36" s="50"/>
      <c r="Q36" s="50"/>
      <c r="R36" s="5">
        <v>2.0499999999999998</v>
      </c>
      <c r="S36" s="61">
        <v>5.9</v>
      </c>
      <c r="T36" s="50"/>
      <c r="U36" s="50"/>
      <c r="V36" s="50"/>
      <c r="W36" s="62">
        <v>281312446</v>
      </c>
      <c r="X36" s="50"/>
      <c r="Y36" s="50"/>
      <c r="Z36" s="62">
        <v>299267114</v>
      </c>
      <c r="AA36" s="50"/>
      <c r="AB36" s="50"/>
      <c r="AC36" s="50"/>
      <c r="AD36" s="61">
        <v>1.94</v>
      </c>
      <c r="AE36" s="50"/>
      <c r="AF36" s="50"/>
      <c r="AG36" s="50"/>
      <c r="AH36" s="61">
        <v>3.52</v>
      </c>
      <c r="AI36" s="50"/>
      <c r="AJ36" s="61">
        <v>2.9</v>
      </c>
      <c r="AK36" s="50"/>
    </row>
    <row r="37" spans="1:37">
      <c r="A37" s="60" t="s">
        <v>149</v>
      </c>
      <c r="B37" s="50"/>
      <c r="C37" s="50"/>
      <c r="D37" s="4">
        <v>1373</v>
      </c>
      <c r="E37" s="62">
        <v>1252</v>
      </c>
      <c r="F37" s="50"/>
      <c r="G37" s="50"/>
      <c r="H37" s="50"/>
      <c r="I37" s="61">
        <v>117.5</v>
      </c>
      <c r="J37" s="50"/>
      <c r="K37" s="61">
        <v>129.5</v>
      </c>
      <c r="L37" s="50"/>
      <c r="M37" s="50"/>
      <c r="N37" s="61">
        <v>1.0900000000000001</v>
      </c>
      <c r="O37" s="50"/>
      <c r="P37" s="50"/>
      <c r="Q37" s="50"/>
      <c r="R37" s="5">
        <v>0.92</v>
      </c>
      <c r="S37" s="61" t="s">
        <v>150</v>
      </c>
      <c r="T37" s="50"/>
      <c r="U37" s="50"/>
      <c r="V37" s="50"/>
      <c r="W37" s="62">
        <v>18222826</v>
      </c>
      <c r="X37" s="50"/>
      <c r="Y37" s="50"/>
      <c r="Z37" s="62">
        <v>19443685</v>
      </c>
      <c r="AA37" s="50"/>
      <c r="AB37" s="50"/>
      <c r="AC37" s="50"/>
      <c r="AD37" s="61">
        <v>0.83</v>
      </c>
      <c r="AE37" s="50"/>
      <c r="AF37" s="50"/>
      <c r="AG37" s="50"/>
      <c r="AH37" s="61">
        <v>0.78</v>
      </c>
      <c r="AI37" s="50"/>
      <c r="AJ37" s="61" t="s">
        <v>151</v>
      </c>
      <c r="AK37" s="50"/>
    </row>
    <row r="38" spans="1:37">
      <c r="A38" s="60" t="s">
        <v>152</v>
      </c>
      <c r="B38" s="50"/>
      <c r="C38" s="50"/>
      <c r="D38" s="5">
        <v>692</v>
      </c>
      <c r="E38" s="61">
        <v>644</v>
      </c>
      <c r="F38" s="50"/>
      <c r="G38" s="50"/>
      <c r="H38" s="50"/>
      <c r="I38" s="61">
        <v>50.2</v>
      </c>
      <c r="J38" s="50"/>
      <c r="K38" s="61">
        <v>47.5</v>
      </c>
      <c r="L38" s="50"/>
      <c r="M38" s="50"/>
      <c r="N38" s="61">
        <v>0.92</v>
      </c>
      <c r="O38" s="50"/>
      <c r="P38" s="50"/>
      <c r="Q38" s="50"/>
      <c r="R38" s="5">
        <v>0.75</v>
      </c>
      <c r="S38" s="61" t="s">
        <v>153</v>
      </c>
      <c r="T38" s="50"/>
      <c r="U38" s="50"/>
      <c r="V38" s="50"/>
      <c r="W38" s="62">
        <v>6499000</v>
      </c>
      <c r="X38" s="50"/>
      <c r="Y38" s="50"/>
      <c r="Z38" s="62">
        <v>7614082</v>
      </c>
      <c r="AA38" s="50"/>
      <c r="AB38" s="50"/>
      <c r="AC38" s="50"/>
      <c r="AD38" s="61">
        <v>0.7</v>
      </c>
      <c r="AE38" s="50"/>
      <c r="AF38" s="50"/>
      <c r="AG38" s="50"/>
      <c r="AH38" s="61">
        <v>0.61</v>
      </c>
      <c r="AI38" s="50"/>
      <c r="AJ38" s="61" t="s">
        <v>154</v>
      </c>
      <c r="AK38" s="50"/>
    </row>
    <row r="39" spans="1:37">
      <c r="A39" s="68" t="s">
        <v>155</v>
      </c>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c r="A40" s="69" t="s">
        <v>156</v>
      </c>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row>
    <row r="42" spans="1:37">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row>
    <row r="43" spans="1:37">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row>
    <row r="44" spans="1:37">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row>
    <row r="45" spans="1:37">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row>
    <row r="46" spans="1:37">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row>
    <row r="47" spans="1:37">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row>
    <row r="48" spans="1:37">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row>
    <row r="49" spans="4:37">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row>
    <row r="50" spans="4:37">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row>
    <row r="51" spans="4:37">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row>
    <row r="52" spans="4:37">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row>
    <row r="53" spans="4:37">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row>
    <row r="54" spans="4:37">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row>
    <row r="55" spans="4:37">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row>
    <row r="56" spans="4:37">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row>
    <row r="57" spans="4:37">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row>
    <row r="58" spans="4:37">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row>
    <row r="59" spans="4:37">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row>
    <row r="60" spans="4:37">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row>
    <row r="61" spans="4:37">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row>
    <row r="62" spans="4:37">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row>
    <row r="63" spans="4:37">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row>
    <row r="64" spans="4:37">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row>
    <row r="65" spans="4:37">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row>
    <row r="66" spans="4:37">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4:37">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4:37">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4:37">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row r="70" spans="4:37">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row>
    <row r="71" spans="4:37">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row>
    <row r="72" spans="4:37">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row>
    <row r="73" spans="4:37">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row>
    <row r="74" spans="4:37">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row>
    <row r="75" spans="4:37">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row>
    <row r="76" spans="4:37">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row>
    <row r="77" spans="4:37">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row>
    <row r="78" spans="4:37">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row>
    <row r="79" spans="4:37">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row>
    <row r="80" spans="4:37">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row>
    <row r="81" spans="4:37">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row>
    <row r="82" spans="4:37">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row>
    <row r="83" spans="4:37">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row>
    <row r="84" spans="4:37">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row>
    <row r="85" spans="4:37">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row>
    <row r="86" spans="4:37">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row>
    <row r="87" spans="4:37">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row>
    <row r="88" spans="4:37">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row>
    <row r="89" spans="4: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row>
    <row r="90" spans="4:37">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row>
    <row r="91" spans="4:37">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row>
    <row r="92" spans="4:37">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row>
    <row r="93" spans="4:37">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row>
    <row r="94" spans="4:37">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row>
    <row r="95" spans="4:37">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row>
    <row r="96" spans="4:37">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row>
    <row r="97" spans="4:37">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row>
    <row r="98" spans="4:37">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row>
    <row r="99" spans="4:37">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row>
    <row r="100" spans="4:37">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row>
    <row r="101" spans="4:37">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row>
    <row r="102" spans="4:37">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row>
    <row r="103" spans="4:37">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row>
    <row r="104" spans="4:37">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row>
    <row r="105" spans="4:37">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row>
    <row r="106" spans="4:37">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row>
    <row r="107" spans="4:37">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row>
    <row r="108" spans="4:37">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row>
    <row r="109" spans="4:37">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row>
    <row r="110" spans="4:37">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row>
    <row r="111" spans="4:37">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row>
    <row r="112" spans="4:37">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row>
    <row r="113" spans="4:37">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row>
    <row r="114" spans="4:37">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row>
    <row r="115" spans="4:37">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row>
    <row r="116" spans="4:37">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row>
    <row r="117" spans="4:37">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row>
    <row r="118" spans="4:37">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row>
    <row r="119" spans="4:37">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row>
    <row r="120" spans="4:37">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row>
    <row r="121" spans="4:37">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row>
    <row r="122" spans="4:37">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row>
    <row r="123" spans="4:37">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row>
    <row r="124" spans="4:37">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row>
    <row r="125" spans="4:37">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row>
    <row r="126" spans="4:37">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row>
    <row r="127" spans="4:37">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row>
    <row r="128" spans="4:37">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row>
    <row r="129" spans="4:37">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row>
    <row r="130" spans="4:37">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row>
    <row r="131" spans="4:37">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row>
    <row r="132" spans="4:37">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row>
    <row r="133" spans="4:37">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row>
    <row r="134" spans="4:37">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row>
    <row r="135" spans="4:37">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row>
    <row r="136" spans="4:37">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row>
    <row r="137" spans="4:37">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row>
    <row r="138" spans="4:37">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row>
    <row r="139" spans="4:37">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row>
    <row r="140" spans="4:37">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row>
    <row r="141" spans="4:37">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row>
    <row r="142" spans="4:37">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row>
    <row r="143" spans="4:37">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row>
    <row r="144" spans="4:37">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row>
    <row r="145" spans="4:37">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row>
    <row r="146" spans="4:37">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row>
    <row r="147" spans="4:37">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row>
    <row r="148" spans="4:37">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row>
    <row r="149" spans="4:37">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row>
    <row r="150" spans="4:37">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row>
    <row r="151" spans="4:37">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row>
    <row r="152" spans="4:37">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row>
    <row r="153" spans="4:37">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row>
    <row r="154" spans="4:37">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row>
    <row r="155" spans="4:37">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row>
    <row r="156" spans="4:37">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row>
    <row r="157" spans="4:37">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row>
    <row r="158" spans="4:37">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row>
    <row r="159" spans="4:37">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row>
    <row r="160" spans="4:37">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row>
    <row r="161" spans="4:37">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row>
    <row r="162" spans="4:37">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row>
    <row r="163" spans="4:37">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row>
    <row r="164" spans="4:37">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row>
    <row r="165" spans="4:37">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row>
    <row r="166" spans="4:37">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row>
    <row r="167" spans="4:37">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row>
    <row r="168" spans="4:37">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row>
    <row r="169" spans="4:37">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row>
    <row r="170" spans="4:37">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row>
    <row r="171" spans="4:37">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row>
    <row r="172" spans="4:37">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row>
    <row r="173" spans="4:37">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row>
    <row r="174" spans="4:37">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row>
    <row r="175" spans="4:37">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row>
    <row r="176" spans="4:37">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row>
    <row r="177" spans="4:37">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row>
    <row r="178" spans="4:37">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row>
    <row r="179" spans="4:37">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row>
    <row r="180" spans="4:37">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row>
    <row r="181" spans="4:37">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row>
    <row r="182" spans="4:37">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row>
    <row r="183" spans="4:37">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row>
    <row r="184" spans="4:37">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row>
    <row r="185" spans="4:37">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row>
    <row r="186" spans="4:37">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row>
    <row r="187" spans="4:37">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row>
    <row r="188" spans="4:37">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row>
    <row r="189" spans="4:37">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row>
    <row r="190" spans="4:37">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row>
    <row r="191" spans="4:37">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row>
    <row r="192" spans="4:37">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row>
    <row r="193" spans="4:37">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row>
    <row r="194" spans="4:37">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row>
    <row r="195" spans="4:37">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row>
    <row r="196" spans="4:37">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row>
    <row r="197" spans="4:37">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row>
    <row r="198" spans="4:37">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row>
    <row r="199" spans="4:37">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row>
    <row r="200" spans="4:37">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row>
    <row r="201" spans="4:37">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row>
    <row r="202" spans="4:37">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row>
    <row r="203" spans="4:37">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row>
    <row r="204" spans="4:37">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row>
    <row r="205" spans="4:37">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row>
    <row r="206" spans="4:37">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row>
    <row r="207" spans="4:37">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row>
    <row r="208" spans="4:37">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row>
    <row r="209" spans="4:37">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row>
    <row r="210" spans="4:37">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row>
    <row r="211" spans="4:37">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row>
    <row r="212" spans="4:37">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row>
    <row r="213" spans="4:37">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row>
    <row r="214" spans="4:37">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row>
    <row r="215" spans="4:37">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row>
    <row r="216" spans="4:37">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row>
    <row r="217" spans="4:37">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row>
    <row r="218" spans="4:37">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row>
    <row r="219" spans="4:37">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row>
    <row r="220" spans="4:37">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row>
    <row r="221" spans="4:37">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row>
    <row r="222" spans="4:37">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row>
    <row r="223" spans="4:37">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row>
    <row r="224" spans="4:37">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row>
    <row r="225" spans="4:37">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row>
    <row r="226" spans="4:37">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row>
    <row r="227" spans="4:37">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row>
    <row r="228" spans="4:37">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row>
    <row r="229" spans="4:37">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row>
    <row r="230" spans="4:37">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row>
    <row r="231" spans="4:37">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row>
    <row r="232" spans="4:37">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row>
    <row r="233" spans="4:37">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row>
    <row r="234" spans="4:37">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row>
    <row r="235" spans="4:37">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row>
    <row r="236" spans="4:37">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row>
    <row r="237" spans="4:37">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row>
    <row r="238" spans="4:37">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row>
    <row r="239" spans="4:37">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row>
    <row r="240" spans="4:37">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row>
    <row r="241" spans="4:37">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row>
    <row r="242" spans="4:37">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row>
    <row r="243" spans="4:37">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row>
    <row r="244" spans="4:37">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row>
    <row r="245" spans="4:37">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row>
    <row r="246" spans="4:37">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row>
    <row r="247" spans="4:37">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row>
    <row r="248" spans="4:37">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row>
    <row r="249" spans="4:37">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row>
    <row r="250" spans="4:37">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row>
    <row r="251" spans="4:37">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row>
    <row r="252" spans="4:37">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row>
    <row r="253" spans="4:37">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row>
    <row r="254" spans="4:37">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row>
    <row r="255" spans="4:37">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row>
    <row r="256" spans="4:37">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row>
    <row r="257" spans="4:37">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row>
    <row r="258" spans="4:37">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row>
    <row r="259" spans="4:37">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row>
    <row r="260" spans="4:37">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row>
    <row r="261" spans="4:37">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row>
    <row r="262" spans="4:37">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row>
    <row r="263" spans="4:37">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row>
    <row r="264" spans="4:37">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row>
    <row r="265" spans="4:37">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row>
    <row r="266" spans="4:37">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row>
    <row r="267" spans="4:37">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row>
    <row r="268" spans="4:37">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row>
    <row r="269" spans="4:37">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row>
    <row r="270" spans="4:37">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row>
    <row r="271" spans="4:37">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row>
    <row r="272" spans="4:37">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row>
    <row r="273" spans="4:37">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row>
    <row r="274" spans="4:37">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row>
    <row r="275" spans="4:37">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row>
    <row r="276" spans="4:37">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row>
    <row r="277" spans="4:37">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row>
    <row r="278" spans="4:37">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row>
    <row r="279" spans="4:37">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row>
    <row r="280" spans="4:37">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row>
    <row r="281" spans="4:37">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row>
    <row r="282" spans="4:37">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row>
    <row r="283" spans="4:37">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row>
    <row r="284" spans="4:37">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row>
    <row r="285" spans="4:37">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row>
    <row r="286" spans="4:37">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row>
    <row r="287" spans="4:37">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row>
    <row r="288" spans="4:37">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row>
    <row r="289" spans="4:37">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row>
    <row r="290" spans="4:37">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row>
    <row r="291" spans="4:37">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row>
    <row r="292" spans="4:37">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row>
    <row r="293" spans="4:37">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row>
    <row r="294" spans="4:37">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row>
    <row r="295" spans="4:37">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row>
    <row r="296" spans="4:37">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row>
    <row r="297" spans="4:37">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row>
    <row r="298" spans="4:37">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row>
    <row r="299" spans="4:37">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row>
    <row r="300" spans="4:37">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row>
    <row r="301" spans="4:37">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row>
    <row r="302" spans="4:37">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row>
    <row r="303" spans="4:37">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row>
    <row r="304" spans="4:37">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row>
    <row r="305" spans="4:37">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row>
    <row r="306" spans="4:37">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row>
    <row r="307" spans="4:37">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row>
    <row r="308" spans="4:37">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row>
    <row r="309" spans="4:37">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row>
    <row r="310" spans="4:37">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row>
    <row r="311" spans="4:37">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row>
    <row r="312" spans="4:37">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row>
    <row r="313" spans="4:37">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row>
    <row r="314" spans="4:37">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row>
    <row r="315" spans="4:37">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row>
    <row r="316" spans="4:37">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row>
    <row r="317" spans="4:37">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row>
    <row r="318" spans="4:37">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row>
    <row r="319" spans="4:37">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row>
    <row r="320" spans="4:37">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row>
    <row r="321" spans="4:37">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row>
    <row r="322" spans="4:37">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row>
    <row r="323" spans="4:37">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row>
    <row r="324" spans="4:37">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row>
    <row r="325" spans="4:37">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row>
    <row r="326" spans="4:37">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row>
    <row r="327" spans="4:37">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row>
    <row r="328" spans="4:37">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row>
    <row r="329" spans="4:37">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row>
    <row r="330" spans="4:37">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row>
    <row r="331" spans="4:37">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row>
    <row r="332" spans="4:37">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row>
    <row r="333" spans="4:37">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row>
    <row r="334" spans="4:37">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row>
    <row r="335" spans="4:37">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row>
    <row r="336" spans="4:37">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row>
    <row r="337" spans="4:37">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row>
    <row r="338" spans="4:37">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row>
    <row r="339" spans="4:37">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row>
    <row r="340" spans="4:37">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row>
    <row r="341" spans="4:37">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row>
    <row r="342" spans="4:37">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row>
    <row r="343" spans="4:37">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row>
    <row r="344" spans="4:37">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row>
    <row r="345" spans="4:37">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row>
    <row r="346" spans="4:37">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row>
    <row r="347" spans="4:37">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row>
    <row r="348" spans="4:37">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row>
    <row r="349" spans="4:37">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row>
    <row r="350" spans="4:37">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row>
    <row r="351" spans="4:37">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row>
    <row r="352" spans="4:37">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row>
    <row r="353" spans="4:37">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row>
    <row r="354" spans="4:37">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row>
    <row r="355" spans="4:37">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row>
    <row r="356" spans="4:37">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row>
    <row r="357" spans="4:37">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row>
    <row r="358" spans="4:37">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row>
    <row r="359" spans="4:37">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row>
    <row r="360" spans="4:37">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row>
    <row r="361" spans="4:37">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row>
    <row r="362" spans="4:37">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row>
    <row r="363" spans="4:37">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row>
    <row r="364" spans="4:37">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row>
    <row r="365" spans="4:37">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row>
    <row r="366" spans="4:37">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row>
    <row r="367" spans="4:37">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row>
    <row r="368" spans="4:37">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row>
    <row r="369" spans="4:37">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row>
    <row r="370" spans="4:37">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row>
    <row r="371" spans="4:37">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row>
    <row r="372" spans="4:37">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row>
    <row r="373" spans="4:37">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row>
    <row r="374" spans="4:37">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row>
    <row r="375" spans="4:37">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row>
    <row r="376" spans="4:37">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row>
    <row r="377" spans="4:37">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row>
    <row r="378" spans="4:37">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row>
    <row r="379" spans="4:37">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row>
    <row r="380" spans="4:37">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row>
    <row r="381" spans="4:37">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row>
    <row r="382" spans="4:37">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row>
    <row r="383" spans="4:37">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row>
    <row r="384" spans="4:37">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row>
    <row r="385" spans="4:37">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row>
    <row r="386" spans="4:37">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row>
    <row r="387" spans="4:37">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row>
    <row r="388" spans="4:37">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row>
    <row r="389" spans="4:37">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row>
    <row r="390" spans="4:37">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row>
    <row r="391" spans="4:37">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row>
    <row r="392" spans="4:37">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row>
    <row r="393" spans="4:37">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row>
    <row r="394" spans="4:37">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row>
    <row r="395" spans="4:37">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row>
    <row r="396" spans="4:37">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row>
    <row r="397" spans="4:37">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row>
    <row r="398" spans="4:37">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row>
    <row r="399" spans="4:37">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row>
    <row r="400" spans="4:37">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row>
    <row r="401" spans="4:37">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row>
    <row r="402" spans="4:37">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row>
    <row r="403" spans="4:37">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row>
    <row r="404" spans="4:37">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row>
    <row r="405" spans="4:37">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row>
    <row r="406" spans="4:37">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row>
    <row r="407" spans="4:37">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row>
    <row r="408" spans="4:37">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row>
    <row r="409" spans="4:37">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row>
    <row r="410" spans="4:37">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row>
    <row r="411" spans="4:37">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row>
    <row r="412" spans="4:37">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row>
    <row r="413" spans="4:37">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row>
    <row r="414" spans="4:37">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row>
    <row r="415" spans="4:37">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row>
    <row r="416" spans="4:37">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row>
    <row r="417" spans="4:37">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row>
    <row r="418" spans="4:37">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row>
    <row r="419" spans="4:37">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row>
    <row r="420" spans="4:37">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row>
    <row r="421" spans="4:37">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row>
    <row r="422" spans="4:37">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row>
    <row r="423" spans="4:37">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row>
    <row r="424" spans="4:37">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row>
    <row r="425" spans="4:37">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row>
    <row r="426" spans="4:37">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row>
    <row r="427" spans="4:37">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row>
    <row r="428" spans="4:37">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row>
    <row r="429" spans="4:37">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row>
    <row r="430" spans="4:37">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row>
    <row r="431" spans="4:37">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row>
    <row r="432" spans="4:37">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row>
    <row r="433" spans="4:37">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row>
    <row r="434" spans="4:37">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row>
    <row r="435" spans="4:37">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row>
    <row r="436" spans="4:37">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row>
    <row r="437" spans="4:37">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row>
    <row r="438" spans="4:37">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row>
    <row r="439" spans="4:37">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row>
    <row r="440" spans="4:37">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row>
    <row r="441" spans="4:37">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row>
    <row r="442" spans="4:37">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row>
    <row r="443" spans="4:37">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row>
    <row r="444" spans="4:37">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row>
    <row r="445" spans="4:37">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row>
    <row r="446" spans="4:37">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row>
    <row r="447" spans="4:37">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row>
    <row r="448" spans="4:37">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row>
    <row r="449" spans="4:37">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row>
    <row r="450" spans="4:37">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row>
    <row r="451" spans="4:37">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row>
    <row r="452" spans="4:37">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row>
    <row r="453" spans="4:37">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row>
    <row r="454" spans="4:37">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row>
    <row r="455" spans="4:37">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row>
    <row r="456" spans="4:37">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row>
    <row r="457" spans="4:37">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row>
    <row r="458" spans="4:37">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row>
    <row r="459" spans="4:37">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row>
    <row r="460" spans="4:37">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row>
    <row r="461" spans="4:37">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row>
    <row r="462" spans="4:37">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row>
    <row r="463" spans="4:37">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row>
    <row r="464" spans="4:37">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row>
    <row r="465" spans="4:37">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row>
    <row r="466" spans="4:37">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row>
    <row r="467" spans="4:37">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row>
    <row r="468" spans="4:37">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row>
    <row r="469" spans="4:37">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row>
    <row r="470" spans="4:37">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row>
    <row r="471" spans="4:37">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row>
    <row r="472" spans="4:37">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row>
    <row r="473" spans="4:37">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row>
    <row r="474" spans="4:37">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row>
    <row r="475" spans="4:37">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row>
    <row r="476" spans="4:37">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row>
    <row r="477" spans="4:37">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row>
    <row r="478" spans="4:37">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row>
    <row r="479" spans="4:37">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row>
    <row r="480" spans="4:37">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row>
    <row r="481" spans="4:37">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row>
    <row r="482" spans="4:37">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row>
    <row r="483" spans="4:37">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row>
    <row r="484" spans="4:37">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row>
    <row r="485" spans="4:37">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row>
    <row r="486" spans="4:37">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row>
    <row r="487" spans="4:37">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row>
    <row r="488" spans="4:37">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row>
    <row r="489" spans="4:37">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row>
    <row r="490" spans="4:37">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row>
    <row r="491" spans="4:37">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row>
    <row r="492" spans="4:37">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row>
    <row r="493" spans="4:37">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row>
    <row r="494" spans="4:37">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row>
    <row r="495" spans="4:37">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row>
    <row r="496" spans="4:37">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row>
    <row r="497" spans="4:37">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row>
    <row r="498" spans="4:37">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row>
    <row r="499" spans="4:37">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row>
    <row r="500" spans="4:37">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row>
    <row r="501" spans="4:37">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row>
    <row r="502" spans="4:37">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row>
    <row r="503" spans="4:37">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row>
    <row r="504" spans="4:37">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row>
    <row r="505" spans="4:37">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row>
    <row r="506" spans="4:37">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row>
    <row r="507" spans="4:37">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row>
    <row r="508" spans="4:37">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row>
    <row r="509" spans="4:37">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row>
    <row r="510" spans="4:37">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row>
    <row r="511" spans="4:37">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row>
    <row r="512" spans="4:37">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row>
    <row r="513" spans="4:37">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row>
    <row r="514" spans="4:37">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row>
    <row r="515" spans="4:37">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row>
    <row r="516" spans="4:37">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row>
    <row r="517" spans="4:37">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row>
    <row r="518" spans="4:37">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row>
    <row r="519" spans="4:37">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row>
    <row r="520" spans="4:37">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row>
    <row r="521" spans="4:37">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row>
    <row r="522" spans="4:37">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row>
    <row r="523" spans="4:37">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row>
    <row r="524" spans="4:37">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row>
    <row r="525" spans="4:37">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row>
    <row r="526" spans="4:37">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row>
    <row r="527" spans="4:37">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row>
    <row r="528" spans="4:37">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row>
    <row r="529" spans="4:37">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row>
    <row r="530" spans="4:37">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row>
    <row r="531" spans="4:37">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row>
    <row r="532" spans="4:37">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row>
    <row r="533" spans="4:37">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row>
    <row r="534" spans="4:37">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row>
    <row r="535" spans="4:37">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row>
    <row r="536" spans="4:37">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row>
    <row r="537" spans="4:37">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row>
    <row r="538" spans="4:37">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row>
    <row r="539" spans="4:37">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row>
    <row r="540" spans="4:37">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row>
    <row r="541" spans="4:37">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row>
    <row r="542" spans="4:37">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row>
    <row r="543" spans="4:37">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row>
    <row r="544" spans="4:37">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row>
    <row r="545" spans="4:37">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row>
    <row r="546" spans="4:37">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row>
    <row r="547" spans="4:37">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row>
    <row r="548" spans="4:37">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row>
    <row r="549" spans="4:37">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row>
    <row r="550" spans="4:37">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row>
    <row r="551" spans="4:37">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row>
    <row r="552" spans="4:37">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row>
    <row r="553" spans="4:37">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row>
    <row r="554" spans="4:37">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row>
    <row r="555" spans="4:37">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row>
    <row r="556" spans="4:37">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row>
    <row r="557" spans="4:37">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row>
    <row r="558" spans="4:37">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row>
    <row r="559" spans="4:37">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row>
    <row r="560" spans="4:37">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row>
    <row r="561" spans="4:37">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row>
    <row r="562" spans="4:37">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row>
    <row r="563" spans="4:37">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row>
    <row r="564" spans="4:37">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row>
    <row r="565" spans="4:37">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row>
    <row r="566" spans="4:37">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row>
    <row r="567" spans="4:37">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row>
    <row r="568" spans="4:37">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row>
    <row r="569" spans="4:37">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row>
    <row r="570" spans="4:37">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row>
    <row r="571" spans="4:37">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row>
    <row r="572" spans="4:37">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row>
    <row r="573" spans="4:37">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row>
    <row r="574" spans="4:37">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row>
    <row r="575" spans="4:37">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row>
    <row r="576" spans="4:37">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row>
    <row r="577" spans="4:37">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row>
    <row r="578" spans="4:37">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row>
    <row r="579" spans="4:37">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row>
    <row r="580" spans="4:37">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row>
    <row r="581" spans="4:37">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row>
    <row r="582" spans="4:37">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row>
    <row r="583" spans="4:37">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row>
    <row r="584" spans="4:37">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row>
    <row r="585" spans="4:37">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row>
    <row r="586" spans="4:37">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row>
    <row r="587" spans="4:37">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row>
    <row r="588" spans="4:37">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row>
    <row r="589" spans="4:37">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row>
    <row r="590" spans="4:37">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row>
    <row r="591" spans="4:37">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row>
    <row r="592" spans="4:37">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row>
    <row r="593" spans="4:37">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row>
    <row r="594" spans="4:37">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row>
    <row r="595" spans="4:37">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row>
    <row r="596" spans="4:37">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row>
    <row r="597" spans="4:37">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row>
    <row r="598" spans="4:37">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row>
    <row r="599" spans="4:37">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row>
    <row r="600" spans="4:37">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row>
    <row r="601" spans="4:37">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row>
    <row r="602" spans="4:37">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row>
    <row r="603" spans="4:37">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row>
    <row r="604" spans="4:37">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row>
    <row r="605" spans="4:37">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row>
    <row r="606" spans="4:37">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row>
    <row r="607" spans="4:37">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row>
    <row r="608" spans="4:37">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row>
    <row r="609" spans="4:37">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row>
    <row r="610" spans="4:37">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row>
    <row r="611" spans="4:37">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row>
    <row r="612" spans="4:37">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row>
    <row r="613" spans="4:37">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row>
    <row r="614" spans="4:37">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row>
    <row r="615" spans="4:37">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row>
    <row r="616" spans="4:37">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row>
    <row r="617" spans="4:37">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row>
    <row r="618" spans="4:37">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row>
    <row r="619" spans="4:37">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row>
    <row r="620" spans="4:37">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row>
    <row r="621" spans="4:37">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row>
    <row r="622" spans="4:37">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row>
    <row r="623" spans="4:37">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row>
    <row r="624" spans="4:37">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row>
    <row r="625" spans="4:37">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row>
    <row r="626" spans="4:37">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row>
    <row r="627" spans="4:37">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row>
    <row r="628" spans="4:37">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row>
    <row r="629" spans="4:37">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row>
    <row r="630" spans="4:37">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row>
    <row r="631" spans="4:37">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row>
    <row r="632" spans="4:37">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row>
    <row r="633" spans="4:37">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row>
    <row r="634" spans="4:37">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row>
    <row r="635" spans="4:37">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row>
    <row r="636" spans="4:37">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row>
    <row r="637" spans="4:37">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row>
    <row r="638" spans="4:37">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row>
    <row r="639" spans="4:37">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row>
    <row r="640" spans="4:37">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row>
    <row r="641" spans="4:37">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row>
    <row r="642" spans="4:37">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row>
    <row r="643" spans="4:37">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row>
    <row r="644" spans="4:37">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row>
    <row r="645" spans="4:37">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row>
    <row r="646" spans="4:37">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row>
    <row r="647" spans="4:37">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row>
    <row r="648" spans="4:37">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row>
    <row r="649" spans="4:37">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row>
    <row r="650" spans="4:37">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row>
    <row r="651" spans="4:37">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row>
    <row r="652" spans="4:37">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row>
    <row r="653" spans="4:37">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row>
    <row r="654" spans="4:37">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row>
    <row r="655" spans="4:37">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row>
    <row r="656" spans="4:37">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row>
    <row r="657" spans="4:37">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row>
    <row r="658" spans="4:37">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row>
    <row r="659" spans="4:37">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row>
    <row r="660" spans="4:37">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row>
    <row r="661" spans="4:37">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row>
    <row r="662" spans="4:37">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row>
    <row r="663" spans="4:37">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row>
    <row r="664" spans="4:37">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row>
    <row r="665" spans="4:37">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row>
    <row r="666" spans="4:37">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row>
    <row r="667" spans="4:37">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row>
    <row r="668" spans="4:37">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row>
    <row r="669" spans="4:37">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row>
    <row r="670" spans="4:37">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row>
    <row r="671" spans="4:37">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row>
    <row r="672" spans="4:37">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row>
    <row r="673" spans="4:37">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row>
    <row r="674" spans="4:37">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row>
    <row r="675" spans="4:37">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row>
    <row r="676" spans="4:37">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row>
    <row r="677" spans="4:37">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row>
    <row r="678" spans="4:37">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row>
    <row r="679" spans="4:37">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row>
    <row r="680" spans="4:37">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row>
    <row r="681" spans="4:37">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row>
    <row r="682" spans="4:37">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row>
    <row r="683" spans="4:37">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row>
    <row r="684" spans="4:37">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row>
    <row r="685" spans="4:37">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row>
    <row r="686" spans="4:37">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row>
    <row r="687" spans="4:37">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row>
    <row r="688" spans="4:37">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row>
    <row r="689" spans="4:37">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row>
    <row r="690" spans="4:37">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row>
    <row r="691" spans="4:37">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row>
    <row r="692" spans="4:37">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row>
    <row r="693" spans="4:37">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row>
    <row r="694" spans="4:37">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row>
    <row r="695" spans="4:37">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row>
    <row r="696" spans="4:37">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row>
    <row r="697" spans="4:37">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row>
    <row r="698" spans="4:37">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row>
    <row r="699" spans="4:37">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row>
    <row r="700" spans="4:37">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row>
    <row r="701" spans="4:37">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row>
    <row r="702" spans="4:37">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row>
    <row r="703" spans="4:37">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row>
    <row r="704" spans="4:37">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row>
    <row r="705" spans="4:37">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row>
    <row r="706" spans="4:37">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row>
    <row r="707" spans="4:37">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row>
    <row r="708" spans="4:37">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row>
    <row r="709" spans="4:37">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row>
    <row r="710" spans="4:37">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row>
    <row r="711" spans="4:37">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row>
    <row r="712" spans="4:37">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row>
    <row r="713" spans="4:37">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row>
    <row r="714" spans="4:37">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row>
    <row r="715" spans="4:37">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row>
    <row r="716" spans="4:37">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row>
    <row r="717" spans="4:37">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row>
    <row r="718" spans="4:37">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row>
    <row r="719" spans="4:37">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row>
    <row r="720" spans="4:37">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row>
    <row r="721" spans="4:37">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row>
    <row r="722" spans="4:37">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row>
    <row r="723" spans="4:37">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row>
    <row r="724" spans="4:37">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row>
    <row r="725" spans="4:37">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row>
    <row r="726" spans="4:37">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row>
    <row r="727" spans="4:37">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row>
    <row r="728" spans="4:37">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row>
    <row r="729" spans="4:37">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row>
    <row r="730" spans="4:37">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row>
    <row r="731" spans="4:37">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row>
    <row r="732" spans="4:37">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row>
    <row r="733" spans="4:37">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row>
    <row r="734" spans="4:37">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row>
    <row r="735" spans="4:37">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row>
    <row r="736" spans="4:37">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row>
    <row r="737" spans="4:37">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row>
    <row r="738" spans="4:37">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row>
    <row r="739" spans="4:37">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row>
    <row r="740" spans="4:37">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row>
    <row r="741" spans="4:37">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row>
    <row r="742" spans="4:37">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row>
    <row r="743" spans="4:37">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row>
    <row r="744" spans="4:37">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row>
    <row r="745" spans="4:37">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row>
    <row r="746" spans="4:37">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row>
    <row r="747" spans="4:37">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row>
    <row r="748" spans="4:37">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row>
    <row r="749" spans="4:37">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row>
    <row r="750" spans="4:37">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row>
    <row r="751" spans="4:37">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row>
    <row r="752" spans="4:37">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row>
    <row r="753" spans="4:37">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row>
    <row r="754" spans="4:37">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row>
    <row r="755" spans="4:37">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row>
    <row r="756" spans="4:37">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row>
    <row r="757" spans="4:37">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row>
    <row r="758" spans="4:37">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row>
    <row r="759" spans="4:37">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row>
    <row r="760" spans="4:37">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row>
    <row r="761" spans="4:37">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row>
    <row r="762" spans="4:37">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row>
    <row r="763" spans="4:37">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row>
    <row r="764" spans="4:37">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row>
    <row r="765" spans="4:37">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row>
    <row r="766" spans="4:37">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row>
    <row r="767" spans="4:37">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row>
    <row r="768" spans="4:37">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row>
    <row r="769" spans="4:37">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row>
    <row r="770" spans="4:37">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row>
    <row r="771" spans="4:37">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row>
    <row r="772" spans="4:37">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row>
    <row r="773" spans="4:37">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row>
    <row r="774" spans="4:37">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row>
    <row r="775" spans="4:37">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row>
    <row r="776" spans="4:37">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row>
    <row r="777" spans="4:37">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row>
    <row r="778" spans="4:37">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row>
    <row r="779" spans="4:37">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row>
    <row r="780" spans="4:37">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row>
    <row r="781" spans="4:37">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row>
    <row r="782" spans="4:37">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row>
    <row r="783" spans="4:37">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row>
    <row r="784" spans="4:37">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row>
    <row r="785" spans="4:37">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row>
    <row r="786" spans="4:37">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row>
    <row r="787" spans="4:37">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row>
    <row r="788" spans="4:37">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row>
    <row r="789" spans="4:37">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row>
    <row r="790" spans="4:37">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row>
    <row r="791" spans="4:37">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row>
    <row r="792" spans="4:37">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row>
    <row r="793" spans="4:37">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row>
    <row r="794" spans="4:37">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row>
    <row r="795" spans="4:37">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row>
    <row r="796" spans="4:37">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row>
    <row r="797" spans="4:37">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row>
    <row r="798" spans="4:37">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row>
    <row r="799" spans="4:37">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row>
    <row r="800" spans="4:37">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row>
    <row r="801" spans="4:37">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row>
    <row r="802" spans="4:37">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row>
    <row r="803" spans="4:37">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row>
    <row r="804" spans="4:37">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row>
    <row r="805" spans="4:37">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row>
    <row r="806" spans="4:37">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row>
    <row r="807" spans="4:37">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row>
    <row r="808" spans="4:37">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row>
    <row r="809" spans="4:37">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row>
    <row r="810" spans="4:37">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row>
    <row r="811" spans="4:37">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row>
    <row r="812" spans="4:37">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row>
    <row r="813" spans="4:37">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row>
    <row r="814" spans="4:37">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row>
    <row r="815" spans="4:37">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row>
    <row r="816" spans="4:37">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row>
    <row r="817" spans="4:37">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row>
    <row r="818" spans="4:37">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row>
    <row r="819" spans="4:37">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row>
    <row r="820" spans="4:37">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row>
    <row r="821" spans="4:37">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row>
    <row r="822" spans="4:37">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row>
    <row r="823" spans="4:37">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row>
    <row r="824" spans="4:37">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row>
    <row r="825" spans="4:37">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row>
    <row r="826" spans="4:37">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row>
    <row r="827" spans="4:37">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row>
    <row r="828" spans="4:37">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row>
    <row r="829" spans="4:37">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row>
    <row r="830" spans="4:37">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row>
    <row r="831" spans="4:37">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row>
    <row r="832" spans="4:37">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row>
    <row r="833" spans="4:37">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row>
    <row r="834" spans="4:37">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row>
    <row r="835" spans="4:37">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row>
    <row r="836" spans="4:37">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row>
    <row r="837" spans="4:37">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row>
    <row r="838" spans="4:37">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row>
    <row r="839" spans="4:37">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row>
    <row r="840" spans="4:37">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row>
    <row r="841" spans="4:37">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row>
    <row r="842" spans="4:37">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row>
    <row r="843" spans="4:37">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row>
    <row r="844" spans="4:37">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row>
    <row r="845" spans="4:37">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row>
    <row r="846" spans="4:37">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row>
    <row r="847" spans="4:37">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row>
    <row r="848" spans="4:37">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row>
    <row r="849" spans="4:37">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row>
    <row r="850" spans="4:37">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row>
    <row r="851" spans="4:37">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row>
    <row r="852" spans="4:37">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row>
    <row r="853" spans="4:37">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row>
    <row r="854" spans="4:37">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row>
    <row r="855" spans="4:37">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row>
    <row r="856" spans="4:37">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row>
    <row r="857" spans="4:37">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row>
    <row r="858" spans="4:37">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row>
    <row r="859" spans="4:37">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row>
    <row r="860" spans="4:37">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row>
    <row r="861" spans="4:37">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row>
    <row r="862" spans="4:37">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row>
    <row r="863" spans="4:37">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row>
    <row r="864" spans="4:37">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row>
    <row r="865" spans="4:37">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row>
    <row r="866" spans="4:37">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row>
    <row r="867" spans="4:37">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row>
    <row r="868" spans="4:37">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row>
    <row r="869" spans="4:37">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row>
    <row r="870" spans="4:37">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row>
    <row r="871" spans="4:37">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row>
    <row r="872" spans="4:37">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row>
    <row r="873" spans="4:37">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row>
    <row r="874" spans="4:37">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row>
    <row r="875" spans="4:37">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row>
    <row r="876" spans="4:37">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row>
    <row r="877" spans="4:37">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row>
    <row r="878" spans="4:37">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row>
    <row r="879" spans="4:37">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row>
    <row r="880" spans="4:37">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row>
    <row r="881" spans="4:37">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row>
    <row r="882" spans="4:37">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row>
    <row r="883" spans="4:37">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row>
    <row r="884" spans="4:37">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row>
    <row r="885" spans="4:37">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row>
    <row r="886" spans="4:37">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row>
    <row r="887" spans="4:37">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row>
    <row r="888" spans="4:37">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row>
    <row r="889" spans="4:37">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row>
    <row r="890" spans="4:37">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row>
    <row r="891" spans="4:37">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row>
    <row r="892" spans="4:37">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row>
    <row r="893" spans="4:37">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row>
    <row r="894" spans="4:37">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row>
    <row r="895" spans="4:37">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row>
    <row r="896" spans="4:37">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row>
    <row r="897" spans="4:37">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row>
    <row r="898" spans="4:37">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row>
    <row r="899" spans="4:37">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row>
    <row r="900" spans="4:37">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row>
    <row r="901" spans="4:37">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row>
    <row r="902" spans="4:37">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row>
    <row r="903" spans="4:37">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row>
    <row r="904" spans="4:37">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row>
    <row r="905" spans="4:37">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row>
    <row r="906" spans="4:37">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row>
    <row r="907" spans="4:37">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row>
    <row r="908" spans="4:37">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row>
    <row r="909" spans="4:37">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row>
    <row r="910" spans="4:37">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row>
    <row r="911" spans="4:37">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row>
    <row r="912" spans="4:37">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row>
    <row r="913" spans="4:37">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row>
    <row r="914" spans="4:37">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row>
    <row r="915" spans="4:37">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row>
    <row r="916" spans="4:37">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row>
    <row r="917" spans="4:37">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row>
    <row r="918" spans="4:37">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row>
    <row r="919" spans="4:37">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row>
    <row r="920" spans="4:37">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row>
    <row r="921" spans="4:37">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row>
    <row r="922" spans="4:37">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row>
    <row r="923" spans="4:37">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row>
    <row r="924" spans="4:37">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row>
    <row r="925" spans="4:37">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row>
    <row r="926" spans="4:37">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row>
    <row r="927" spans="4:37">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row>
    <row r="928" spans="4:37">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row>
    <row r="929" spans="4:37">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row>
    <row r="930" spans="4:37">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row>
    <row r="931" spans="4:37">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row>
    <row r="932" spans="4:37">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row>
    <row r="933" spans="4:37">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row>
    <row r="934" spans="4:37">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row>
    <row r="935" spans="4:37">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row>
    <row r="936" spans="4:37">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row>
    <row r="937" spans="4:37">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row>
    <row r="938" spans="4:37">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row>
    <row r="939" spans="4:37">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row>
    <row r="940" spans="4:37">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row>
    <row r="941" spans="4:37">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row>
    <row r="942" spans="4:37">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row>
    <row r="943" spans="4:37">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row>
    <row r="944" spans="4:37">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row>
    <row r="945" spans="4:37">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row>
    <row r="946" spans="4:37">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row>
    <row r="947" spans="4:37">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row>
    <row r="948" spans="4:37">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row>
    <row r="949" spans="4:37">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row>
    <row r="950" spans="4:37">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row>
    <row r="951" spans="4:37">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row>
    <row r="952" spans="4:37">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row>
    <row r="953" spans="4:37">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row>
    <row r="954" spans="4:37">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row>
    <row r="955" spans="4:37">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row>
    <row r="956" spans="4:37">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row>
    <row r="957" spans="4:37">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row>
    <row r="958" spans="4:37">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row>
    <row r="959" spans="4:37">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row>
    <row r="960" spans="4:37">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row>
    <row r="961" spans="4:37">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row>
    <row r="962" spans="4:37">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row>
    <row r="963" spans="4:37">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row>
    <row r="964" spans="4:37">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row>
    <row r="965" spans="4:37">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row>
    <row r="966" spans="4:37">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row>
    <row r="967" spans="4:37">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row>
    <row r="968" spans="4:37">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row>
    <row r="969" spans="4:37">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row>
    <row r="970" spans="4:37">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row>
    <row r="971" spans="4:37">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row>
    <row r="972" spans="4:37">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row>
    <row r="973" spans="4:37">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row>
    <row r="974" spans="4:37">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row>
    <row r="975" spans="4:37">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row>
    <row r="976" spans="4:37">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row>
    <row r="977" spans="4:37">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row>
    <row r="978" spans="4:37">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row>
    <row r="979" spans="4:37">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row>
    <row r="980" spans="4:37">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row>
    <row r="981" spans="4:37">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row>
    <row r="982" spans="4:37">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row>
    <row r="983" spans="4:37">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row>
    <row r="984" spans="4:37">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row>
    <row r="985" spans="4:37">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row>
    <row r="986" spans="4:37">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row>
    <row r="987" spans="4:37">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row>
    <row r="988" spans="4:37">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row>
    <row r="989" spans="4:37">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row>
    <row r="990" spans="4:37">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row>
    <row r="991" spans="4:37">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row>
    <row r="992" spans="4:37">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row>
    <row r="993" spans="4:37">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row>
    <row r="994" spans="4:37">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row>
    <row r="995" spans="4:37">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row>
    <row r="996" spans="4:37">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row>
    <row r="997" spans="4:37">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row>
    <row r="998" spans="4:37">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row>
    <row r="999" spans="4:37">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row>
  </sheetData>
  <mergeCells count="392">
    <mergeCell ref="A28:C28"/>
    <mergeCell ref="A29:C29"/>
    <mergeCell ref="I29:J29"/>
    <mergeCell ref="K29:M29"/>
    <mergeCell ref="N29:Q29"/>
    <mergeCell ref="A30:C30"/>
    <mergeCell ref="N30:Q30"/>
    <mergeCell ref="AD34:AG34"/>
    <mergeCell ref="AH34:AI34"/>
    <mergeCell ref="E33:H33"/>
    <mergeCell ref="E34:H34"/>
    <mergeCell ref="K34:M34"/>
    <mergeCell ref="N34:Q34"/>
    <mergeCell ref="S34:V34"/>
    <mergeCell ref="W34:Y34"/>
    <mergeCell ref="Z34:AC34"/>
    <mergeCell ref="E29:H29"/>
    <mergeCell ref="E30:H30"/>
    <mergeCell ref="A31:C31"/>
    <mergeCell ref="E31:H31"/>
    <mergeCell ref="A33:C33"/>
    <mergeCell ref="I33:J33"/>
    <mergeCell ref="I34:J34"/>
    <mergeCell ref="A34:C34"/>
    <mergeCell ref="W38:Y38"/>
    <mergeCell ref="Z38:AC38"/>
    <mergeCell ref="AD38:AG38"/>
    <mergeCell ref="AH38:AI38"/>
    <mergeCell ref="AJ38:AK38"/>
    <mergeCell ref="A39:AK39"/>
    <mergeCell ref="A40:AK40"/>
    <mergeCell ref="E36:H36"/>
    <mergeCell ref="E37:H37"/>
    <mergeCell ref="A38:C38"/>
    <mergeCell ref="E38:H38"/>
    <mergeCell ref="I38:J38"/>
    <mergeCell ref="K38:M38"/>
    <mergeCell ref="N38:Q38"/>
    <mergeCell ref="S36:V36"/>
    <mergeCell ref="W36:Y36"/>
    <mergeCell ref="Z36:AC36"/>
    <mergeCell ref="AD36:AG36"/>
    <mergeCell ref="AH36:AI36"/>
    <mergeCell ref="AJ36:AK36"/>
    <mergeCell ref="A35:C35"/>
    <mergeCell ref="A36:C36"/>
    <mergeCell ref="I36:J36"/>
    <mergeCell ref="K36:M36"/>
    <mergeCell ref="N36:Q36"/>
    <mergeCell ref="A37:C37"/>
    <mergeCell ref="N37:Q37"/>
    <mergeCell ref="S38:V38"/>
    <mergeCell ref="E35:H35"/>
    <mergeCell ref="I35:J35"/>
    <mergeCell ref="K35:M35"/>
    <mergeCell ref="N35:Q35"/>
    <mergeCell ref="S35:V35"/>
    <mergeCell ref="S23:V23"/>
    <mergeCell ref="W23:Y23"/>
    <mergeCell ref="Z23:AC23"/>
    <mergeCell ref="AD23:AG23"/>
    <mergeCell ref="AH23:AI23"/>
    <mergeCell ref="AJ23:AK23"/>
    <mergeCell ref="I37:J37"/>
    <mergeCell ref="K37:M37"/>
    <mergeCell ref="S37:V37"/>
    <mergeCell ref="W37:Y37"/>
    <mergeCell ref="Z37:AC37"/>
    <mergeCell ref="AD37:AG37"/>
    <mergeCell ref="AH37:AI37"/>
    <mergeCell ref="AJ37:AK37"/>
    <mergeCell ref="AJ34:AK34"/>
    <mergeCell ref="AD35:AG35"/>
    <mergeCell ref="AH35:AI35"/>
    <mergeCell ref="AJ35:AK35"/>
    <mergeCell ref="W35:Y35"/>
    <mergeCell ref="Z35:AC35"/>
    <mergeCell ref="A32:AK32"/>
    <mergeCell ref="I30:J30"/>
    <mergeCell ref="K30:M30"/>
    <mergeCell ref="I31:J31"/>
    <mergeCell ref="AD22:AG22"/>
    <mergeCell ref="AH22:AI22"/>
    <mergeCell ref="AJ22:AK22"/>
    <mergeCell ref="E22:H22"/>
    <mergeCell ref="I22:J22"/>
    <mergeCell ref="K22:M22"/>
    <mergeCell ref="N22:Q22"/>
    <mergeCell ref="S22:V22"/>
    <mergeCell ref="W22:Y22"/>
    <mergeCell ref="Z22:AC22"/>
    <mergeCell ref="S21:V21"/>
    <mergeCell ref="W21:Y21"/>
    <mergeCell ref="Z21:AC21"/>
    <mergeCell ref="E17:H17"/>
    <mergeCell ref="E18:H18"/>
    <mergeCell ref="A19:C19"/>
    <mergeCell ref="E19:H19"/>
    <mergeCell ref="A20:C20"/>
    <mergeCell ref="I20:J20"/>
    <mergeCell ref="I21:J21"/>
    <mergeCell ref="K20:M20"/>
    <mergeCell ref="N20:Q20"/>
    <mergeCell ref="S20:V20"/>
    <mergeCell ref="W20:Y20"/>
    <mergeCell ref="Z20:AC20"/>
    <mergeCell ref="AD20:AG20"/>
    <mergeCell ref="AH20:AI20"/>
    <mergeCell ref="AJ20:AK20"/>
    <mergeCell ref="A16:C16"/>
    <mergeCell ref="A17:C17"/>
    <mergeCell ref="I17:J17"/>
    <mergeCell ref="K17:M17"/>
    <mergeCell ref="N17:Q17"/>
    <mergeCell ref="A18:C18"/>
    <mergeCell ref="N18:Q18"/>
    <mergeCell ref="E20:H20"/>
    <mergeCell ref="Z19:AC19"/>
    <mergeCell ref="AD19:AG19"/>
    <mergeCell ref="AH19:AI19"/>
    <mergeCell ref="AJ19:AK19"/>
    <mergeCell ref="I18:J18"/>
    <mergeCell ref="K18:M18"/>
    <mergeCell ref="I19:J19"/>
    <mergeCell ref="K19:M19"/>
    <mergeCell ref="N19:Q19"/>
    <mergeCell ref="S19:V19"/>
    <mergeCell ref="W19:Y19"/>
    <mergeCell ref="W17:Y17"/>
    <mergeCell ref="Z17:AC17"/>
    <mergeCell ref="AH17:AI17"/>
    <mergeCell ref="AJ17:AK17"/>
    <mergeCell ref="S17:V17"/>
    <mergeCell ref="S18:V18"/>
    <mergeCell ref="W18:Y18"/>
    <mergeCell ref="Z18:AC18"/>
    <mergeCell ref="AD18:AG18"/>
    <mergeCell ref="AH18:AI18"/>
    <mergeCell ref="AJ18:AK18"/>
    <mergeCell ref="A14:C14"/>
    <mergeCell ref="N14:Q14"/>
    <mergeCell ref="E13:H13"/>
    <mergeCell ref="E14:H14"/>
    <mergeCell ref="A15:C15"/>
    <mergeCell ref="I15:J15"/>
    <mergeCell ref="K15:M15"/>
    <mergeCell ref="N15:Q15"/>
    <mergeCell ref="N16:Q16"/>
    <mergeCell ref="S15:V15"/>
    <mergeCell ref="W15:Y15"/>
    <mergeCell ref="Z15:AC15"/>
    <mergeCell ref="AD15:AG15"/>
    <mergeCell ref="AH15:AI15"/>
    <mergeCell ref="AJ15:AK15"/>
    <mergeCell ref="E15:H15"/>
    <mergeCell ref="E16:H16"/>
    <mergeCell ref="I16:J16"/>
    <mergeCell ref="K16:M16"/>
    <mergeCell ref="S16:V16"/>
    <mergeCell ref="W16:Y16"/>
    <mergeCell ref="Z16:AC16"/>
    <mergeCell ref="AD16:AG16"/>
    <mergeCell ref="AH16:AI16"/>
    <mergeCell ref="AJ16:AK16"/>
    <mergeCell ref="I14:J14"/>
    <mergeCell ref="K14:M14"/>
    <mergeCell ref="S14:V14"/>
    <mergeCell ref="W14:Y14"/>
    <mergeCell ref="Z14:AC14"/>
    <mergeCell ref="AD14:AG14"/>
    <mergeCell ref="AH14:AI14"/>
    <mergeCell ref="AJ14:AK14"/>
    <mergeCell ref="I13:J13"/>
    <mergeCell ref="K13:M13"/>
    <mergeCell ref="N13:Q13"/>
    <mergeCell ref="S13:V13"/>
    <mergeCell ref="E11:H11"/>
    <mergeCell ref="E12:H12"/>
    <mergeCell ref="A13:C13"/>
    <mergeCell ref="S11:V11"/>
    <mergeCell ref="W13:Y13"/>
    <mergeCell ref="Z13:AC13"/>
    <mergeCell ref="AD13:AG13"/>
    <mergeCell ref="AH13:AI13"/>
    <mergeCell ref="I12:J12"/>
    <mergeCell ref="K12:M12"/>
    <mergeCell ref="S12:V12"/>
    <mergeCell ref="W12:Y12"/>
    <mergeCell ref="Z12:AC12"/>
    <mergeCell ref="AD12:AG12"/>
    <mergeCell ref="AH12:AI12"/>
    <mergeCell ref="AJ12:AK12"/>
    <mergeCell ref="A9:C9"/>
    <mergeCell ref="A10:C10"/>
    <mergeCell ref="A11:C11"/>
    <mergeCell ref="I11:J11"/>
    <mergeCell ref="K11:M11"/>
    <mergeCell ref="N11:Q11"/>
    <mergeCell ref="A12:C12"/>
    <mergeCell ref="N12:Q12"/>
    <mergeCell ref="E10:H10"/>
    <mergeCell ref="I10:J10"/>
    <mergeCell ref="K10:M10"/>
    <mergeCell ref="N10:Q10"/>
    <mergeCell ref="S10:V10"/>
    <mergeCell ref="W10:Y10"/>
    <mergeCell ref="Z10:AC10"/>
    <mergeCell ref="W11:Y11"/>
    <mergeCell ref="Z11:AC11"/>
    <mergeCell ref="E9:H9"/>
    <mergeCell ref="K9:M9"/>
    <mergeCell ref="N9:Q9"/>
    <mergeCell ref="S9:V9"/>
    <mergeCell ref="W9:Y9"/>
    <mergeCell ref="Z9:AC9"/>
    <mergeCell ref="I8:J8"/>
    <mergeCell ref="I9:J9"/>
    <mergeCell ref="AD8:AG8"/>
    <mergeCell ref="A4:C4"/>
    <mergeCell ref="A5:C5"/>
    <mergeCell ref="I5:J5"/>
    <mergeCell ref="K5:M5"/>
    <mergeCell ref="N5:Q5"/>
    <mergeCell ref="A6:C6"/>
    <mergeCell ref="N6:Q6"/>
    <mergeCell ref="E5:H5"/>
    <mergeCell ref="E6:H6"/>
    <mergeCell ref="A7:C7"/>
    <mergeCell ref="E7:H7"/>
    <mergeCell ref="A8:C8"/>
    <mergeCell ref="I6:J6"/>
    <mergeCell ref="K6:M6"/>
    <mergeCell ref="I7:J7"/>
    <mergeCell ref="K7:M7"/>
    <mergeCell ref="N7:Q7"/>
    <mergeCell ref="S7:V7"/>
    <mergeCell ref="E8:H8"/>
    <mergeCell ref="W7:Y7"/>
    <mergeCell ref="K8:M8"/>
    <mergeCell ref="N8:Q8"/>
    <mergeCell ref="S8:V8"/>
    <mergeCell ref="W8:Y8"/>
    <mergeCell ref="A1:AK1"/>
    <mergeCell ref="A2:C3"/>
    <mergeCell ref="D2:D3"/>
    <mergeCell ref="I2:J3"/>
    <mergeCell ref="N2:V2"/>
    <mergeCell ref="N4:Q4"/>
    <mergeCell ref="AJ4:AK4"/>
    <mergeCell ref="W5:Y5"/>
    <mergeCell ref="Z5:AC5"/>
    <mergeCell ref="AD5:AG5"/>
    <mergeCell ref="AH5:AI5"/>
    <mergeCell ref="AJ5:AK5"/>
    <mergeCell ref="S5:V5"/>
    <mergeCell ref="E2:H3"/>
    <mergeCell ref="E4:H4"/>
    <mergeCell ref="I4:J4"/>
    <mergeCell ref="K4:M4"/>
    <mergeCell ref="S3:V3"/>
    <mergeCell ref="S4:V4"/>
    <mergeCell ref="W4:Y4"/>
    <mergeCell ref="Z4:AC4"/>
    <mergeCell ref="AD4:AG4"/>
    <mergeCell ref="AD2:AK2"/>
    <mergeCell ref="AD3:AG3"/>
    <mergeCell ref="AH3:AI3"/>
    <mergeCell ref="AJ3:AK3"/>
    <mergeCell ref="K33:M33"/>
    <mergeCell ref="N33:Q33"/>
    <mergeCell ref="S33:V33"/>
    <mergeCell ref="W33:Y33"/>
    <mergeCell ref="Z33:AC33"/>
    <mergeCell ref="AD33:AG33"/>
    <mergeCell ref="AH33:AI33"/>
    <mergeCell ref="AJ33:AK33"/>
    <mergeCell ref="W2:Y3"/>
    <mergeCell ref="Z2:AC3"/>
    <mergeCell ref="K2:M3"/>
    <mergeCell ref="N3:Q3"/>
    <mergeCell ref="AH4:AI4"/>
    <mergeCell ref="S6:V6"/>
    <mergeCell ref="W6:Y6"/>
    <mergeCell ref="Z6:AC6"/>
    <mergeCell ref="AD6:AG6"/>
    <mergeCell ref="AH6:AI6"/>
    <mergeCell ref="AJ6:AK6"/>
    <mergeCell ref="Z7:AC7"/>
    <mergeCell ref="AD7:AG7"/>
    <mergeCell ref="AH7:AI7"/>
    <mergeCell ref="AJ7:AK7"/>
    <mergeCell ref="Z8:AC8"/>
    <mergeCell ref="Z31:AC31"/>
    <mergeCell ref="AD31:AG31"/>
    <mergeCell ref="AH31:AI31"/>
    <mergeCell ref="AJ31:AK31"/>
    <mergeCell ref="AD9:AG9"/>
    <mergeCell ref="AH9:AI9"/>
    <mergeCell ref="AJ9:AK9"/>
    <mergeCell ref="AH8:AI8"/>
    <mergeCell ref="AJ8:AK8"/>
    <mergeCell ref="AD10:AG10"/>
    <mergeCell ref="AH10:AI10"/>
    <mergeCell ref="AJ10:AK10"/>
    <mergeCell ref="AD11:AG11"/>
    <mergeCell ref="AH11:AI11"/>
    <mergeCell ref="AJ11:AK11"/>
    <mergeCell ref="AJ13:AK13"/>
    <mergeCell ref="AD17:AG17"/>
    <mergeCell ref="K31:M31"/>
    <mergeCell ref="N31:Q31"/>
    <mergeCell ref="S31:V31"/>
    <mergeCell ref="W31:Y31"/>
    <mergeCell ref="W29:Y29"/>
    <mergeCell ref="Z29:AC29"/>
    <mergeCell ref="AD29:AG29"/>
    <mergeCell ref="AH29:AI29"/>
    <mergeCell ref="AJ29:AK29"/>
    <mergeCell ref="S29:V29"/>
    <mergeCell ref="S30:V30"/>
    <mergeCell ref="W30:Y30"/>
    <mergeCell ref="Z30:AC30"/>
    <mergeCell ref="AD30:AG30"/>
    <mergeCell ref="AH30:AI30"/>
    <mergeCell ref="AJ30:AK30"/>
    <mergeCell ref="A25:C25"/>
    <mergeCell ref="I25:J25"/>
    <mergeCell ref="K25:M25"/>
    <mergeCell ref="N25:Q25"/>
    <mergeCell ref="A26:C26"/>
    <mergeCell ref="N26:Q26"/>
    <mergeCell ref="E25:H25"/>
    <mergeCell ref="E26:H26"/>
    <mergeCell ref="A27:C27"/>
    <mergeCell ref="I27:J27"/>
    <mergeCell ref="K27:M27"/>
    <mergeCell ref="N27:Q27"/>
    <mergeCell ref="S27:V27"/>
    <mergeCell ref="W27:Y27"/>
    <mergeCell ref="Z27:AC27"/>
    <mergeCell ref="AD27:AG27"/>
    <mergeCell ref="AH27:AI27"/>
    <mergeCell ref="AJ27:AK27"/>
    <mergeCell ref="E27:H27"/>
    <mergeCell ref="E28:H28"/>
    <mergeCell ref="I28:J28"/>
    <mergeCell ref="K28:M28"/>
    <mergeCell ref="S28:V28"/>
    <mergeCell ref="W28:Y28"/>
    <mergeCell ref="Z28:AC28"/>
    <mergeCell ref="AD28:AG28"/>
    <mergeCell ref="AH28:AI28"/>
    <mergeCell ref="AJ28:AK28"/>
    <mergeCell ref="N28:Q28"/>
    <mergeCell ref="S25:V25"/>
    <mergeCell ref="W25:Y25"/>
    <mergeCell ref="Z25:AC25"/>
    <mergeCell ref="AD25:AG25"/>
    <mergeCell ref="AH25:AI25"/>
    <mergeCell ref="AJ25:AK25"/>
    <mergeCell ref="I26:J26"/>
    <mergeCell ref="K26:M26"/>
    <mergeCell ref="S26:V26"/>
    <mergeCell ref="W26:Y26"/>
    <mergeCell ref="Z26:AC26"/>
    <mergeCell ref="AD26:AG26"/>
    <mergeCell ref="AH26:AI26"/>
    <mergeCell ref="AJ26:AK26"/>
    <mergeCell ref="I24:J24"/>
    <mergeCell ref="K24:M24"/>
    <mergeCell ref="S24:V24"/>
    <mergeCell ref="W24:Y24"/>
    <mergeCell ref="Z24:AC24"/>
    <mergeCell ref="AD24:AG24"/>
    <mergeCell ref="AH24:AI24"/>
    <mergeCell ref="AJ24:AK24"/>
    <mergeCell ref="A21:C21"/>
    <mergeCell ref="A22:C22"/>
    <mergeCell ref="A23:C23"/>
    <mergeCell ref="I23:J23"/>
    <mergeCell ref="K23:M23"/>
    <mergeCell ref="N23:Q23"/>
    <mergeCell ref="A24:C24"/>
    <mergeCell ref="N24:Q24"/>
    <mergeCell ref="E23:H23"/>
    <mergeCell ref="E24:H24"/>
    <mergeCell ref="AD21:AG21"/>
    <mergeCell ref="AH21:AI21"/>
    <mergeCell ref="AJ21:AK21"/>
    <mergeCell ref="E21:H21"/>
    <mergeCell ref="K21:M21"/>
    <mergeCell ref="N21:Q21"/>
  </mergeCells>
  <hyperlinks>
    <hyperlink ref="A39" r:id="rId1" xr:uid="{00000000-0004-0000-01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EDDC-3B31-4ED5-8E07-99AB4ABAC712}">
  <sheetPr codeName="Sheet12"/>
  <dimension ref="A1:AA32"/>
  <sheetViews>
    <sheetView topLeftCell="N25" workbookViewId="0">
      <selection activeCell="N28" sqref="N28"/>
    </sheetView>
  </sheetViews>
  <sheetFormatPr defaultRowHeight="12.75"/>
  <cols>
    <col min="1" max="1" width="14.28515625" bestFit="1" customWidth="1"/>
    <col min="2" max="2" width="45.7109375" bestFit="1" customWidth="1"/>
    <col min="3" max="3" width="59.5703125" bestFit="1" customWidth="1"/>
    <col min="4" max="4" width="14.28515625" bestFit="1" customWidth="1"/>
    <col min="5" max="5" width="37" bestFit="1" customWidth="1"/>
    <col min="6" max="6" width="52.140625" bestFit="1" customWidth="1"/>
    <col min="8" max="8" width="14.28515625" bestFit="1" customWidth="1"/>
    <col min="9" max="9" width="45.140625" bestFit="1" customWidth="1"/>
    <col min="10" max="10" width="59.28515625" bestFit="1" customWidth="1"/>
    <col min="13" max="13" width="14.28515625" bestFit="1" customWidth="1"/>
    <col min="14" max="14" width="52.140625" bestFit="1" customWidth="1"/>
    <col min="15" max="15" width="38.28515625" bestFit="1" customWidth="1"/>
    <col min="19" max="19" width="14.28515625" bestFit="1" customWidth="1"/>
    <col min="20" max="21" width="52.140625" bestFit="1" customWidth="1"/>
    <col min="22" max="22" width="37" bestFit="1" customWidth="1"/>
    <col min="23" max="23" width="38.28515625" bestFit="1" customWidth="1"/>
    <col min="24" max="24" width="45.140625" bestFit="1" customWidth="1"/>
    <col min="25" max="25" width="45.7109375" bestFit="1" customWidth="1"/>
    <col min="26" max="26" width="59.28515625" bestFit="1" customWidth="1"/>
    <col min="27" max="27" width="59.5703125" bestFit="1" customWidth="1"/>
  </cols>
  <sheetData>
    <row r="1" spans="1:27">
      <c r="D1" s="27" t="s">
        <v>164</v>
      </c>
      <c r="E1" t="s">
        <v>183</v>
      </c>
      <c r="F1" t="s">
        <v>181</v>
      </c>
      <c r="H1" s="27" t="s">
        <v>164</v>
      </c>
      <c r="I1" t="s">
        <v>186</v>
      </c>
      <c r="J1" t="s">
        <v>185</v>
      </c>
      <c r="M1" s="27" t="s">
        <v>164</v>
      </c>
      <c r="N1" t="s">
        <v>182</v>
      </c>
      <c r="O1" t="s">
        <v>180</v>
      </c>
      <c r="S1" s="27" t="s">
        <v>164</v>
      </c>
      <c r="T1" t="s">
        <v>181</v>
      </c>
      <c r="U1" t="s">
        <v>182</v>
      </c>
      <c r="V1" t="s">
        <v>183</v>
      </c>
      <c r="W1" t="s">
        <v>180</v>
      </c>
      <c r="X1" t="s">
        <v>186</v>
      </c>
      <c r="Y1" t="s">
        <v>187</v>
      </c>
      <c r="Z1" t="s">
        <v>185</v>
      </c>
      <c r="AA1" t="s">
        <v>184</v>
      </c>
    </row>
    <row r="2" spans="1:27">
      <c r="D2" s="16" t="s">
        <v>48</v>
      </c>
      <c r="E2">
        <v>19505241</v>
      </c>
      <c r="F2">
        <v>0.61</v>
      </c>
      <c r="H2" s="16" t="s">
        <v>48</v>
      </c>
      <c r="I2">
        <v>154.4</v>
      </c>
      <c r="J2">
        <v>0.78</v>
      </c>
      <c r="M2" s="16" t="s">
        <v>9</v>
      </c>
      <c r="N2">
        <v>1.26</v>
      </c>
      <c r="O2">
        <v>1</v>
      </c>
      <c r="S2" s="16" t="s">
        <v>48</v>
      </c>
      <c r="T2">
        <v>0.61</v>
      </c>
      <c r="U2">
        <v>0.67</v>
      </c>
      <c r="V2">
        <v>19505241</v>
      </c>
      <c r="W2">
        <v>1</v>
      </c>
      <c r="X2">
        <v>154.4</v>
      </c>
      <c r="Y2">
        <v>162.80000000000001</v>
      </c>
      <c r="Z2">
        <v>0.78</v>
      </c>
      <c r="AA2">
        <v>0.73</v>
      </c>
    </row>
    <row r="3" spans="1:27">
      <c r="A3" s="27" t="s">
        <v>164</v>
      </c>
      <c r="B3" t="s">
        <v>187</v>
      </c>
      <c r="C3" t="s">
        <v>184</v>
      </c>
      <c r="D3" s="16" t="s">
        <v>43</v>
      </c>
      <c r="E3">
        <v>6895596</v>
      </c>
      <c r="F3">
        <v>0.6</v>
      </c>
      <c r="H3" s="16" t="s">
        <v>43</v>
      </c>
      <c r="I3">
        <v>47.9</v>
      </c>
      <c r="J3">
        <v>1</v>
      </c>
      <c r="M3" s="16" t="s">
        <v>68</v>
      </c>
      <c r="N3">
        <v>0.48</v>
      </c>
      <c r="O3">
        <v>1</v>
      </c>
      <c r="S3" s="16" t="s">
        <v>43</v>
      </c>
      <c r="T3">
        <v>0.6</v>
      </c>
      <c r="U3">
        <v>0.74</v>
      </c>
      <c r="V3">
        <v>6895596</v>
      </c>
      <c r="W3">
        <v>1</v>
      </c>
      <c r="X3">
        <v>47.9</v>
      </c>
      <c r="Y3">
        <v>52.8</v>
      </c>
      <c r="Z3">
        <v>1</v>
      </c>
      <c r="AA3">
        <v>0.79</v>
      </c>
    </row>
    <row r="4" spans="1:27">
      <c r="A4" s="16" t="s">
        <v>48</v>
      </c>
      <c r="B4">
        <v>162.80000000000001</v>
      </c>
      <c r="C4">
        <v>0.73</v>
      </c>
      <c r="D4" s="16" t="s">
        <v>32</v>
      </c>
      <c r="E4">
        <v>7614082</v>
      </c>
      <c r="F4">
        <v>0.85</v>
      </c>
      <c r="H4" s="16" t="s">
        <v>32</v>
      </c>
      <c r="I4">
        <v>62.3</v>
      </c>
      <c r="J4">
        <v>1.22</v>
      </c>
      <c r="M4" s="16" t="s">
        <v>70</v>
      </c>
      <c r="N4">
        <v>0.42</v>
      </c>
      <c r="O4">
        <v>1</v>
      </c>
      <c r="S4" s="16" t="s">
        <v>32</v>
      </c>
      <c r="T4">
        <v>0.85</v>
      </c>
      <c r="U4">
        <v>1.06</v>
      </c>
      <c r="V4">
        <v>7614082</v>
      </c>
      <c r="W4">
        <v>1</v>
      </c>
      <c r="X4">
        <v>62.3</v>
      </c>
      <c r="Y4">
        <v>279</v>
      </c>
      <c r="Z4">
        <v>1.22</v>
      </c>
      <c r="AA4">
        <v>0.9</v>
      </c>
    </row>
    <row r="5" spans="1:27">
      <c r="A5" s="16" t="s">
        <v>43</v>
      </c>
      <c r="B5">
        <v>52.8</v>
      </c>
      <c r="C5">
        <v>0.79</v>
      </c>
      <c r="D5" s="16" t="s">
        <v>45</v>
      </c>
      <c r="E5">
        <v>25422635</v>
      </c>
      <c r="F5">
        <v>0.69</v>
      </c>
      <c r="H5" s="16" t="s">
        <v>45</v>
      </c>
      <c r="I5">
        <v>227.3</v>
      </c>
      <c r="J5">
        <v>0.83</v>
      </c>
      <c r="M5" s="16" t="s">
        <v>73</v>
      </c>
      <c r="N5">
        <v>0.43</v>
      </c>
      <c r="O5">
        <v>1</v>
      </c>
      <c r="S5" s="16" t="s">
        <v>45</v>
      </c>
      <c r="T5">
        <v>0.69</v>
      </c>
      <c r="U5">
        <v>0.79</v>
      </c>
      <c r="V5">
        <v>25422635</v>
      </c>
      <c r="W5">
        <v>1</v>
      </c>
      <c r="X5">
        <v>227.3</v>
      </c>
      <c r="Y5">
        <v>248.3</v>
      </c>
      <c r="Z5">
        <v>0.83</v>
      </c>
      <c r="AA5">
        <v>0.71</v>
      </c>
    </row>
    <row r="6" spans="1:27">
      <c r="A6" s="16" t="s">
        <v>32</v>
      </c>
      <c r="B6">
        <v>279</v>
      </c>
      <c r="C6">
        <v>0.9</v>
      </c>
      <c r="D6" s="16" t="s">
        <v>107</v>
      </c>
      <c r="E6">
        <v>5599733</v>
      </c>
      <c r="F6">
        <v>3.52</v>
      </c>
      <c r="H6" s="16" t="s">
        <v>107</v>
      </c>
      <c r="I6">
        <v>282</v>
      </c>
      <c r="J6">
        <v>1.0900000000000001</v>
      </c>
      <c r="M6" s="16" t="s">
        <v>57</v>
      </c>
      <c r="N6">
        <v>0.51</v>
      </c>
      <c r="O6">
        <v>1</v>
      </c>
      <c r="S6" s="16" t="s">
        <v>107</v>
      </c>
      <c r="T6">
        <v>3.52</v>
      </c>
      <c r="U6">
        <v>0.8</v>
      </c>
      <c r="V6">
        <v>5599733</v>
      </c>
      <c r="W6">
        <v>1</v>
      </c>
      <c r="X6">
        <v>282</v>
      </c>
      <c r="Y6">
        <v>278</v>
      </c>
      <c r="Z6">
        <v>1.0900000000000001</v>
      </c>
      <c r="AA6">
        <v>0.9</v>
      </c>
    </row>
    <row r="7" spans="1:27">
      <c r="A7" s="16" t="s">
        <v>45</v>
      </c>
      <c r="B7">
        <v>248.3</v>
      </c>
      <c r="C7">
        <v>0.71</v>
      </c>
      <c r="D7" s="16" t="s">
        <v>29</v>
      </c>
      <c r="E7">
        <v>7643000</v>
      </c>
      <c r="F7">
        <v>0.81</v>
      </c>
      <c r="H7" s="16" t="s">
        <v>29</v>
      </c>
      <c r="I7">
        <v>31.7</v>
      </c>
      <c r="J7">
        <v>2.3199999999999998</v>
      </c>
      <c r="M7" s="16" t="s">
        <v>19</v>
      </c>
      <c r="N7">
        <v>1.94</v>
      </c>
      <c r="O7">
        <v>1</v>
      </c>
      <c r="S7" s="16" t="s">
        <v>29</v>
      </c>
      <c r="T7">
        <v>0.81</v>
      </c>
      <c r="U7">
        <v>1.1299999999999999</v>
      </c>
      <c r="V7">
        <v>7643000</v>
      </c>
      <c r="W7">
        <v>1</v>
      </c>
      <c r="X7">
        <v>31.7</v>
      </c>
      <c r="Y7">
        <v>35.700000000000003</v>
      </c>
      <c r="Z7">
        <v>2.3199999999999998</v>
      </c>
      <c r="AA7">
        <v>1.73</v>
      </c>
    </row>
    <row r="8" spans="1:27">
      <c r="A8" s="16" t="s">
        <v>107</v>
      </c>
      <c r="B8">
        <v>278</v>
      </c>
      <c r="C8">
        <v>0.9</v>
      </c>
      <c r="D8" s="16" t="s">
        <v>61</v>
      </c>
      <c r="E8">
        <v>3290000</v>
      </c>
      <c r="F8">
        <v>0.6</v>
      </c>
      <c r="H8" s="16" t="s">
        <v>61</v>
      </c>
      <c r="I8">
        <v>32.4</v>
      </c>
      <c r="J8">
        <v>0.55000000000000004</v>
      </c>
      <c r="M8" s="16" t="s">
        <v>121</v>
      </c>
      <c r="N8">
        <v>0.87</v>
      </c>
      <c r="O8">
        <v>1</v>
      </c>
      <c r="S8" s="16" t="s">
        <v>61</v>
      </c>
      <c r="T8">
        <v>0.6</v>
      </c>
      <c r="U8">
        <v>0.59</v>
      </c>
      <c r="V8">
        <v>3290000</v>
      </c>
      <c r="W8">
        <v>1</v>
      </c>
      <c r="X8">
        <v>32.4</v>
      </c>
      <c r="Y8">
        <v>34.200000000000003</v>
      </c>
      <c r="Z8">
        <v>0.55000000000000004</v>
      </c>
      <c r="AA8">
        <v>0.57999999999999996</v>
      </c>
    </row>
    <row r="9" spans="1:27">
      <c r="A9" s="16" t="s">
        <v>29</v>
      </c>
      <c r="B9">
        <v>35.700000000000003</v>
      </c>
      <c r="C9">
        <v>1.73</v>
      </c>
      <c r="D9" s="16" t="s">
        <v>130</v>
      </c>
      <c r="E9">
        <v>4878000</v>
      </c>
      <c r="F9">
        <v>0.43</v>
      </c>
      <c r="H9" s="16" t="s">
        <v>130</v>
      </c>
      <c r="I9">
        <v>282</v>
      </c>
      <c r="J9">
        <v>1.0900000000000001</v>
      </c>
      <c r="M9" s="16" t="s">
        <v>12</v>
      </c>
      <c r="N9">
        <v>1.07</v>
      </c>
      <c r="O9">
        <v>1</v>
      </c>
      <c r="S9" s="16" t="s">
        <v>130</v>
      </c>
      <c r="T9">
        <v>0.43</v>
      </c>
      <c r="U9">
        <v>0.61</v>
      </c>
      <c r="V9">
        <v>4878000</v>
      </c>
      <c r="W9">
        <v>1</v>
      </c>
      <c r="X9">
        <v>282</v>
      </c>
      <c r="Y9">
        <v>31.3</v>
      </c>
      <c r="Z9">
        <v>1.0900000000000001</v>
      </c>
      <c r="AA9">
        <v>0.67</v>
      </c>
    </row>
    <row r="10" spans="1:27">
      <c r="A10" s="16" t="s">
        <v>61</v>
      </c>
      <c r="B10">
        <v>34.200000000000003</v>
      </c>
      <c r="C10">
        <v>0.57999999999999996</v>
      </c>
      <c r="D10" s="16" t="s">
        <v>38</v>
      </c>
      <c r="E10">
        <v>48298911</v>
      </c>
      <c r="F10">
        <v>0.67</v>
      </c>
      <c r="H10" s="16" t="s">
        <v>38</v>
      </c>
      <c r="I10">
        <v>375.2</v>
      </c>
      <c r="J10">
        <v>0.92</v>
      </c>
      <c r="M10" s="16" t="s">
        <v>76</v>
      </c>
      <c r="N10">
        <v>0.31</v>
      </c>
      <c r="O10">
        <v>1</v>
      </c>
      <c r="S10" s="16" t="s">
        <v>38</v>
      </c>
      <c r="T10">
        <v>0.67</v>
      </c>
      <c r="U10">
        <v>0.74</v>
      </c>
      <c r="V10">
        <v>48298911</v>
      </c>
      <c r="W10">
        <v>1</v>
      </c>
      <c r="X10">
        <v>375.2</v>
      </c>
      <c r="Y10">
        <v>382.4</v>
      </c>
      <c r="Z10">
        <v>0.92</v>
      </c>
      <c r="AA10">
        <v>0.85</v>
      </c>
    </row>
    <row r="11" spans="1:27">
      <c r="A11" s="16" t="s">
        <v>130</v>
      </c>
      <c r="B11">
        <v>31.3</v>
      </c>
      <c r="C11">
        <v>0.67</v>
      </c>
      <c r="D11" s="16" t="s">
        <v>133</v>
      </c>
      <c r="E11">
        <v>57305201</v>
      </c>
      <c r="F11">
        <v>0.53</v>
      </c>
      <c r="H11" s="16" t="s">
        <v>133</v>
      </c>
      <c r="I11">
        <v>282</v>
      </c>
      <c r="J11">
        <v>1.0900000000000001</v>
      </c>
      <c r="M11" s="16" t="s">
        <v>15</v>
      </c>
      <c r="N11">
        <v>0.9</v>
      </c>
      <c r="O11">
        <v>1</v>
      </c>
      <c r="S11" s="16" t="s">
        <v>133</v>
      </c>
      <c r="T11">
        <v>0.53</v>
      </c>
      <c r="U11">
        <v>0.64</v>
      </c>
      <c r="V11">
        <v>57305201</v>
      </c>
      <c r="W11">
        <v>1</v>
      </c>
      <c r="X11">
        <v>282</v>
      </c>
      <c r="Y11">
        <v>469.1</v>
      </c>
      <c r="Z11">
        <v>1.0900000000000001</v>
      </c>
      <c r="AA11">
        <v>0.65</v>
      </c>
    </row>
    <row r="12" spans="1:27">
      <c r="A12" s="16" t="s">
        <v>38</v>
      </c>
      <c r="B12">
        <v>382.4</v>
      </c>
      <c r="C12">
        <v>0.85</v>
      </c>
      <c r="D12" s="16" t="s">
        <v>22</v>
      </c>
      <c r="E12">
        <v>9822000</v>
      </c>
      <c r="F12">
        <v>0.7</v>
      </c>
      <c r="H12" s="16" t="s">
        <v>22</v>
      </c>
      <c r="I12">
        <v>282</v>
      </c>
      <c r="J12">
        <v>1.0900000000000001</v>
      </c>
      <c r="M12" s="16" t="s">
        <v>53</v>
      </c>
      <c r="N12">
        <v>0.57999999999999996</v>
      </c>
      <c r="O12">
        <v>1</v>
      </c>
      <c r="S12" s="16" t="s">
        <v>22</v>
      </c>
      <c r="T12">
        <v>0.7</v>
      </c>
      <c r="U12">
        <v>0.83</v>
      </c>
      <c r="V12">
        <v>9822000</v>
      </c>
      <c r="W12">
        <v>1</v>
      </c>
      <c r="X12">
        <v>282</v>
      </c>
      <c r="Y12">
        <v>278</v>
      </c>
      <c r="Z12">
        <v>1.0900000000000001</v>
      </c>
      <c r="AA12">
        <v>0.9</v>
      </c>
    </row>
    <row r="13" spans="1:27">
      <c r="A13" s="16" t="s">
        <v>133</v>
      </c>
      <c r="B13">
        <v>469.1</v>
      </c>
      <c r="C13">
        <v>0.65</v>
      </c>
      <c r="D13" s="16" t="s">
        <v>25</v>
      </c>
      <c r="E13">
        <v>4625398</v>
      </c>
      <c r="F13">
        <v>1.3</v>
      </c>
      <c r="H13" s="16" t="s">
        <v>25</v>
      </c>
      <c r="I13">
        <v>282</v>
      </c>
      <c r="J13">
        <v>1.0900000000000001</v>
      </c>
      <c r="M13" s="16" t="s">
        <v>16</v>
      </c>
      <c r="N13">
        <v>1.54</v>
      </c>
      <c r="O13">
        <v>1</v>
      </c>
      <c r="S13" s="16" t="s">
        <v>25</v>
      </c>
      <c r="T13">
        <v>1.3</v>
      </c>
      <c r="U13">
        <v>1.67</v>
      </c>
      <c r="V13">
        <v>4625398</v>
      </c>
      <c r="W13">
        <v>1</v>
      </c>
      <c r="X13">
        <v>282</v>
      </c>
      <c r="Y13">
        <v>29.3</v>
      </c>
      <c r="Z13">
        <v>1.0900000000000001</v>
      </c>
      <c r="AA13">
        <v>2.0499999999999998</v>
      </c>
    </row>
    <row r="14" spans="1:27">
      <c r="A14" s="16" t="s">
        <v>22</v>
      </c>
      <c r="B14">
        <v>278</v>
      </c>
      <c r="C14">
        <v>0.9</v>
      </c>
      <c r="D14" s="16" t="s">
        <v>65</v>
      </c>
      <c r="E14">
        <v>2805839</v>
      </c>
      <c r="F14">
        <v>0.5</v>
      </c>
      <c r="H14" s="16" t="s">
        <v>65</v>
      </c>
      <c r="I14">
        <v>28.6</v>
      </c>
      <c r="J14">
        <v>0.56999999999999995</v>
      </c>
      <c r="M14" s="16" t="s">
        <v>62</v>
      </c>
      <c r="N14">
        <v>0.53</v>
      </c>
      <c r="O14">
        <v>1</v>
      </c>
      <c r="S14" s="16" t="s">
        <v>65</v>
      </c>
      <c r="T14">
        <v>0.5</v>
      </c>
      <c r="U14">
        <v>0.63</v>
      </c>
      <c r="V14">
        <v>2805839</v>
      </c>
      <c r="W14">
        <v>1</v>
      </c>
      <c r="X14">
        <v>28.6</v>
      </c>
      <c r="Y14">
        <v>29.2</v>
      </c>
      <c r="Z14">
        <v>0.56999999999999995</v>
      </c>
      <c r="AA14">
        <v>0.48</v>
      </c>
    </row>
    <row r="15" spans="1:27">
      <c r="A15" s="16" t="s">
        <v>25</v>
      </c>
      <c r="B15">
        <v>29.3</v>
      </c>
      <c r="C15">
        <v>2.0499999999999998</v>
      </c>
      <c r="D15" s="16" t="s">
        <v>51</v>
      </c>
      <c r="E15">
        <v>3600693</v>
      </c>
      <c r="F15">
        <v>0.99</v>
      </c>
      <c r="H15" s="16" t="s">
        <v>51</v>
      </c>
      <c r="I15">
        <v>34.1</v>
      </c>
      <c r="J15">
        <v>1.05</v>
      </c>
      <c r="M15" s="16" t="s">
        <v>35</v>
      </c>
      <c r="N15">
        <v>0.66</v>
      </c>
      <c r="O15">
        <v>1</v>
      </c>
      <c r="S15" s="16" t="s">
        <v>51</v>
      </c>
      <c r="T15">
        <v>0.99</v>
      </c>
      <c r="U15">
        <v>1.1499999999999999</v>
      </c>
      <c r="V15">
        <v>3600693</v>
      </c>
      <c r="W15">
        <v>1</v>
      </c>
      <c r="X15">
        <v>34.1</v>
      </c>
      <c r="Y15">
        <v>39.299999999999997</v>
      </c>
      <c r="Z15">
        <v>1.05</v>
      </c>
      <c r="AA15">
        <v>0.9</v>
      </c>
    </row>
    <row r="16" spans="1:27">
      <c r="A16" s="16" t="s">
        <v>65</v>
      </c>
      <c r="B16">
        <v>29.2</v>
      </c>
      <c r="C16">
        <v>0.48</v>
      </c>
      <c r="D16" s="16" t="s">
        <v>35</v>
      </c>
      <c r="E16">
        <v>55026299</v>
      </c>
      <c r="F16">
        <v>0.57999999999999996</v>
      </c>
      <c r="H16" s="16" t="s">
        <v>35</v>
      </c>
      <c r="I16">
        <v>282</v>
      </c>
      <c r="J16">
        <v>1.0900000000000001</v>
      </c>
      <c r="M16" s="16" t="s">
        <v>51</v>
      </c>
      <c r="N16">
        <v>1.1499999999999999</v>
      </c>
      <c r="O16">
        <v>1</v>
      </c>
      <c r="S16" s="16" t="s">
        <v>35</v>
      </c>
      <c r="T16">
        <v>0.57999999999999996</v>
      </c>
      <c r="U16">
        <v>0.66</v>
      </c>
      <c r="V16">
        <v>55026299</v>
      </c>
      <c r="W16">
        <v>1</v>
      </c>
      <c r="X16">
        <v>282</v>
      </c>
      <c r="Y16">
        <v>279</v>
      </c>
      <c r="Z16">
        <v>1.0900000000000001</v>
      </c>
      <c r="AA16">
        <v>0.9</v>
      </c>
    </row>
    <row r="17" spans="1:27">
      <c r="A17" s="16" t="s">
        <v>51</v>
      </c>
      <c r="B17">
        <v>39.299999999999997</v>
      </c>
      <c r="C17">
        <v>0.9</v>
      </c>
      <c r="D17" s="16" t="s">
        <v>62</v>
      </c>
      <c r="E17">
        <v>91457940</v>
      </c>
      <c r="F17">
        <v>0.43</v>
      </c>
      <c r="H17" s="16" t="s">
        <v>62</v>
      </c>
      <c r="I17">
        <v>454.2</v>
      </c>
      <c r="J17">
        <v>1.08</v>
      </c>
      <c r="M17" s="16" t="s">
        <v>65</v>
      </c>
      <c r="N17">
        <v>0.63</v>
      </c>
      <c r="O17">
        <v>1</v>
      </c>
      <c r="S17" s="16" t="s">
        <v>62</v>
      </c>
      <c r="T17">
        <v>0.43</v>
      </c>
      <c r="U17">
        <v>0.53</v>
      </c>
      <c r="V17">
        <v>91457940</v>
      </c>
      <c r="W17">
        <v>1</v>
      </c>
      <c r="X17">
        <v>454.2</v>
      </c>
      <c r="Y17">
        <v>462.7</v>
      </c>
      <c r="Z17">
        <v>1.08</v>
      </c>
      <c r="AA17">
        <v>0.85</v>
      </c>
    </row>
    <row r="18" spans="1:27">
      <c r="A18" s="16" t="s">
        <v>35</v>
      </c>
      <c r="B18">
        <v>279</v>
      </c>
      <c r="C18">
        <v>0.9</v>
      </c>
      <c r="D18" s="16" t="s">
        <v>16</v>
      </c>
      <c r="E18">
        <v>1719065</v>
      </c>
      <c r="F18">
        <v>1.08</v>
      </c>
      <c r="H18" s="16" t="s">
        <v>16</v>
      </c>
      <c r="I18">
        <v>282</v>
      </c>
      <c r="J18">
        <v>1.0900000000000001</v>
      </c>
      <c r="M18" s="16" t="s">
        <v>25</v>
      </c>
      <c r="N18">
        <v>1.67</v>
      </c>
      <c r="O18">
        <v>1</v>
      </c>
      <c r="S18" s="16" t="s">
        <v>16</v>
      </c>
      <c r="T18">
        <v>1.08</v>
      </c>
      <c r="U18">
        <v>1.54</v>
      </c>
      <c r="V18">
        <v>1719065</v>
      </c>
      <c r="W18">
        <v>1</v>
      </c>
      <c r="X18">
        <v>282</v>
      </c>
      <c r="Y18">
        <v>278</v>
      </c>
      <c r="Z18">
        <v>1.0900000000000001</v>
      </c>
      <c r="AA18">
        <v>0.9</v>
      </c>
    </row>
    <row r="19" spans="1:27">
      <c r="A19" s="16" t="s">
        <v>62</v>
      </c>
      <c r="B19">
        <v>462.7</v>
      </c>
      <c r="C19">
        <v>0.85</v>
      </c>
      <c r="D19" s="16" t="s">
        <v>53</v>
      </c>
      <c r="E19">
        <v>11553132</v>
      </c>
      <c r="F19">
        <v>0.56999999999999995</v>
      </c>
      <c r="H19" s="16" t="s">
        <v>53</v>
      </c>
      <c r="I19">
        <v>80.5</v>
      </c>
      <c r="J19">
        <v>0.77</v>
      </c>
      <c r="M19" s="16" t="s">
        <v>22</v>
      </c>
      <c r="N19">
        <v>0.83</v>
      </c>
      <c r="O19">
        <v>1</v>
      </c>
      <c r="S19" s="16" t="s">
        <v>53</v>
      </c>
      <c r="T19">
        <v>0.56999999999999995</v>
      </c>
      <c r="U19">
        <v>0.57999999999999996</v>
      </c>
      <c r="V19">
        <v>11553132</v>
      </c>
      <c r="W19">
        <v>1</v>
      </c>
      <c r="X19">
        <v>80.5</v>
      </c>
      <c r="Y19">
        <v>85.5</v>
      </c>
      <c r="Z19">
        <v>0.77</v>
      </c>
      <c r="AA19">
        <v>0.77</v>
      </c>
    </row>
    <row r="20" spans="1:27">
      <c r="A20" s="16" t="s">
        <v>16</v>
      </c>
      <c r="B20">
        <v>278</v>
      </c>
      <c r="C20">
        <v>0.9</v>
      </c>
      <c r="D20" s="16" t="s">
        <v>15</v>
      </c>
      <c r="E20">
        <v>4403000</v>
      </c>
      <c r="F20">
        <v>0.8</v>
      </c>
      <c r="H20" s="16" t="s">
        <v>15</v>
      </c>
      <c r="I20">
        <v>26.9</v>
      </c>
      <c r="J20">
        <v>1.18</v>
      </c>
      <c r="M20" s="16" t="s">
        <v>133</v>
      </c>
      <c r="N20">
        <v>0.64</v>
      </c>
      <c r="O20">
        <v>1</v>
      </c>
      <c r="S20" s="16" t="s">
        <v>15</v>
      </c>
      <c r="T20">
        <v>0.8</v>
      </c>
      <c r="U20">
        <v>0.9</v>
      </c>
      <c r="V20">
        <v>4403000</v>
      </c>
      <c r="W20">
        <v>1</v>
      </c>
      <c r="X20">
        <v>26.9</v>
      </c>
      <c r="Y20">
        <v>30.4</v>
      </c>
      <c r="Z20">
        <v>1.18</v>
      </c>
      <c r="AA20">
        <v>1.1599999999999999</v>
      </c>
    </row>
    <row r="21" spans="1:27">
      <c r="A21" s="16" t="s">
        <v>53</v>
      </c>
      <c r="B21">
        <v>85.5</v>
      </c>
      <c r="C21">
        <v>0.77</v>
      </c>
      <c r="D21" s="16" t="s">
        <v>76</v>
      </c>
      <c r="E21">
        <v>4049449</v>
      </c>
      <c r="F21">
        <v>0.27</v>
      </c>
      <c r="H21" s="16" t="s">
        <v>76</v>
      </c>
      <c r="I21">
        <v>27.5</v>
      </c>
      <c r="J21">
        <v>0.43</v>
      </c>
      <c r="M21" s="16" t="s">
        <v>38</v>
      </c>
      <c r="N21">
        <v>0.74</v>
      </c>
      <c r="O21">
        <v>1</v>
      </c>
      <c r="S21" s="16" t="s">
        <v>76</v>
      </c>
      <c r="T21">
        <v>0.27</v>
      </c>
      <c r="U21">
        <v>0.31</v>
      </c>
      <c r="V21">
        <v>4049449</v>
      </c>
      <c r="W21">
        <v>1</v>
      </c>
      <c r="X21">
        <v>27.5</v>
      </c>
      <c r="Y21">
        <v>28.7</v>
      </c>
      <c r="Z21">
        <v>0.43</v>
      </c>
      <c r="AA21">
        <v>0.38</v>
      </c>
    </row>
    <row r="22" spans="1:27">
      <c r="A22" s="16" t="s">
        <v>15</v>
      </c>
      <c r="B22">
        <v>30.4</v>
      </c>
      <c r="C22">
        <v>1.1599999999999999</v>
      </c>
      <c r="D22" s="16" t="s">
        <v>12</v>
      </c>
      <c r="E22">
        <v>31989000</v>
      </c>
      <c r="F22">
        <v>0.91</v>
      </c>
      <c r="H22" s="16" t="s">
        <v>12</v>
      </c>
      <c r="I22">
        <v>138</v>
      </c>
      <c r="J22">
        <v>2.13</v>
      </c>
      <c r="M22" s="16" t="s">
        <v>130</v>
      </c>
      <c r="N22">
        <v>0.61</v>
      </c>
      <c r="O22">
        <v>1</v>
      </c>
      <c r="S22" s="16" t="s">
        <v>12</v>
      </c>
      <c r="T22">
        <v>0.91</v>
      </c>
      <c r="U22">
        <v>1.07</v>
      </c>
      <c r="V22">
        <v>31989000</v>
      </c>
      <c r="W22">
        <v>1</v>
      </c>
      <c r="X22">
        <v>138</v>
      </c>
      <c r="Y22">
        <v>155.1</v>
      </c>
      <c r="Z22">
        <v>2.13</v>
      </c>
      <c r="AA22">
        <v>1.88</v>
      </c>
    </row>
    <row r="23" spans="1:27">
      <c r="A23" s="16" t="s">
        <v>76</v>
      </c>
      <c r="B23">
        <v>28.7</v>
      </c>
      <c r="C23">
        <v>0.38</v>
      </c>
      <c r="D23" s="16" t="s">
        <v>121</v>
      </c>
      <c r="E23">
        <v>1515329</v>
      </c>
      <c r="F23">
        <v>0.67</v>
      </c>
      <c r="H23" s="16" t="s">
        <v>121</v>
      </c>
      <c r="I23">
        <v>282</v>
      </c>
      <c r="J23">
        <v>1.0900000000000001</v>
      </c>
      <c r="M23" s="16" t="s">
        <v>61</v>
      </c>
      <c r="N23">
        <v>0.59</v>
      </c>
      <c r="O23">
        <v>1</v>
      </c>
      <c r="S23" s="16" t="s">
        <v>121</v>
      </c>
      <c r="T23">
        <v>0.67</v>
      </c>
      <c r="U23">
        <v>0.87</v>
      </c>
      <c r="V23">
        <v>1515329</v>
      </c>
      <c r="W23">
        <v>1</v>
      </c>
      <c r="X23">
        <v>282</v>
      </c>
      <c r="Y23">
        <v>14</v>
      </c>
      <c r="Z23">
        <v>1.0900000000000001</v>
      </c>
      <c r="AA23">
        <v>0.73</v>
      </c>
    </row>
    <row r="24" spans="1:27">
      <c r="A24" s="16" t="s">
        <v>12</v>
      </c>
      <c r="B24">
        <v>155.1</v>
      </c>
      <c r="C24">
        <v>1.88</v>
      </c>
      <c r="D24" s="16" t="s">
        <v>19</v>
      </c>
      <c r="E24">
        <v>26990456</v>
      </c>
      <c r="F24">
        <v>1.24</v>
      </c>
      <c r="H24" s="16" t="s">
        <v>19</v>
      </c>
      <c r="I24">
        <v>185.4</v>
      </c>
      <c r="J24">
        <v>2.4900000000000002</v>
      </c>
      <c r="M24" s="16" t="s">
        <v>29</v>
      </c>
      <c r="N24">
        <v>1.1299999999999999</v>
      </c>
      <c r="O24">
        <v>1</v>
      </c>
      <c r="S24" s="16" t="s">
        <v>19</v>
      </c>
      <c r="T24">
        <v>1.24</v>
      </c>
      <c r="U24">
        <v>1.94</v>
      </c>
      <c r="V24">
        <v>26990456</v>
      </c>
      <c r="W24">
        <v>1</v>
      </c>
      <c r="X24">
        <v>185.4</v>
      </c>
      <c r="Y24">
        <v>204.8</v>
      </c>
      <c r="Z24">
        <v>2.4900000000000002</v>
      </c>
      <c r="AA24">
        <v>1.64</v>
      </c>
    </row>
    <row r="25" spans="1:27">
      <c r="A25" s="16" t="s">
        <v>121</v>
      </c>
      <c r="B25">
        <v>14</v>
      </c>
      <c r="C25">
        <v>0.73</v>
      </c>
      <c r="D25" s="16" t="s">
        <v>57</v>
      </c>
      <c r="E25">
        <v>36343283</v>
      </c>
      <c r="F25">
        <v>0.48</v>
      </c>
      <c r="H25" s="16" t="s">
        <v>57</v>
      </c>
      <c r="I25">
        <v>282</v>
      </c>
      <c r="J25">
        <v>1.0900000000000001</v>
      </c>
      <c r="M25" s="16" t="s">
        <v>107</v>
      </c>
      <c r="N25">
        <v>0.8</v>
      </c>
      <c r="O25">
        <v>1</v>
      </c>
      <c r="S25" s="16" t="s">
        <v>57</v>
      </c>
      <c r="T25">
        <v>0.48</v>
      </c>
      <c r="U25">
        <v>0.51</v>
      </c>
      <c r="V25">
        <v>36343283</v>
      </c>
      <c r="W25">
        <v>1</v>
      </c>
      <c r="X25">
        <v>282</v>
      </c>
      <c r="Y25">
        <v>278</v>
      </c>
      <c r="Z25">
        <v>1.0900000000000001</v>
      </c>
      <c r="AA25">
        <v>0.9</v>
      </c>
    </row>
    <row r="26" spans="1:27">
      <c r="A26" s="16" t="s">
        <v>19</v>
      </c>
      <c r="B26">
        <v>204.8</v>
      </c>
      <c r="C26">
        <v>1.64</v>
      </c>
      <c r="D26" s="16" t="s">
        <v>73</v>
      </c>
      <c r="E26">
        <v>6363944</v>
      </c>
      <c r="F26">
        <v>0.35</v>
      </c>
      <c r="H26" s="16" t="s">
        <v>73</v>
      </c>
      <c r="I26">
        <v>50.2</v>
      </c>
      <c r="J26">
        <v>0.52</v>
      </c>
      <c r="M26" s="16" t="s">
        <v>45</v>
      </c>
      <c r="N26">
        <v>0.79</v>
      </c>
      <c r="O26">
        <v>1</v>
      </c>
      <c r="S26" s="16" t="s">
        <v>73</v>
      </c>
      <c r="T26">
        <v>0.35</v>
      </c>
      <c r="U26">
        <v>0.43</v>
      </c>
      <c r="V26">
        <v>6363944</v>
      </c>
      <c r="W26">
        <v>1</v>
      </c>
      <c r="X26">
        <v>50.2</v>
      </c>
      <c r="Y26">
        <v>52</v>
      </c>
      <c r="Z26">
        <v>0.52</v>
      </c>
      <c r="AA26">
        <v>0.42</v>
      </c>
    </row>
    <row r="27" spans="1:27">
      <c r="A27" s="16" t="s">
        <v>57</v>
      </c>
      <c r="B27">
        <v>278</v>
      </c>
      <c r="C27">
        <v>0.9</v>
      </c>
      <c r="D27" s="16" t="s">
        <v>70</v>
      </c>
      <c r="E27">
        <v>6371545</v>
      </c>
      <c r="F27">
        <v>0.28999999999999998</v>
      </c>
      <c r="H27" s="16" t="s">
        <v>70</v>
      </c>
      <c r="I27">
        <v>40.6</v>
      </c>
      <c r="J27">
        <v>0.62</v>
      </c>
      <c r="M27" s="16" t="s">
        <v>32</v>
      </c>
      <c r="N27">
        <v>1.06</v>
      </c>
      <c r="O27">
        <v>1</v>
      </c>
      <c r="S27" s="16" t="s">
        <v>70</v>
      </c>
      <c r="T27">
        <v>0.28999999999999998</v>
      </c>
      <c r="U27">
        <v>0.42</v>
      </c>
      <c r="V27">
        <v>6371545</v>
      </c>
      <c r="W27">
        <v>1</v>
      </c>
      <c r="X27">
        <v>40.6</v>
      </c>
      <c r="Y27">
        <v>43.1</v>
      </c>
      <c r="Z27">
        <v>0.62</v>
      </c>
      <c r="AA27">
        <v>0.43</v>
      </c>
    </row>
    <row r="28" spans="1:27">
      <c r="A28" s="16" t="s">
        <v>73</v>
      </c>
      <c r="B28">
        <v>52</v>
      </c>
      <c r="C28">
        <v>0.42</v>
      </c>
      <c r="D28" s="16" t="s">
        <v>68</v>
      </c>
      <c r="E28">
        <v>39890719</v>
      </c>
      <c r="F28">
        <v>0.45</v>
      </c>
      <c r="H28" s="16" t="s">
        <v>68</v>
      </c>
      <c r="I28">
        <v>282</v>
      </c>
      <c r="J28">
        <v>1.0900000000000001</v>
      </c>
      <c r="M28" s="16" t="s">
        <v>43</v>
      </c>
      <c r="N28">
        <v>0.74</v>
      </c>
      <c r="O28">
        <v>1</v>
      </c>
      <c r="S28" s="16" t="s">
        <v>68</v>
      </c>
      <c r="T28">
        <v>0.45</v>
      </c>
      <c r="U28">
        <v>0.48</v>
      </c>
      <c r="V28">
        <v>39890719</v>
      </c>
      <c r="W28">
        <v>1</v>
      </c>
      <c r="X28">
        <v>282</v>
      </c>
      <c r="Y28">
        <v>278</v>
      </c>
      <c r="Z28">
        <v>1.0900000000000001</v>
      </c>
      <c r="AA28">
        <v>0.9</v>
      </c>
    </row>
    <row r="29" spans="1:27">
      <c r="A29" s="16" t="s">
        <v>70</v>
      </c>
      <c r="B29">
        <v>43.1</v>
      </c>
      <c r="C29">
        <v>0.43</v>
      </c>
      <c r="D29" s="16" t="s">
        <v>9</v>
      </c>
      <c r="E29">
        <v>299267114</v>
      </c>
      <c r="F29">
        <v>1.21</v>
      </c>
      <c r="H29" s="16" t="s">
        <v>9</v>
      </c>
      <c r="I29">
        <v>3089.8</v>
      </c>
      <c r="J29">
        <v>1.1499999999999999</v>
      </c>
      <c r="M29" s="16" t="s">
        <v>48</v>
      </c>
      <c r="N29">
        <v>0.67</v>
      </c>
      <c r="O29">
        <v>1</v>
      </c>
      <c r="S29" s="16" t="s">
        <v>9</v>
      </c>
      <c r="T29">
        <v>1.21</v>
      </c>
      <c r="U29">
        <v>1.26</v>
      </c>
      <c r="V29">
        <v>299267114</v>
      </c>
      <c r="W29">
        <v>1</v>
      </c>
      <c r="X29">
        <v>3089.8</v>
      </c>
      <c r="Y29">
        <v>3261.8</v>
      </c>
      <c r="Z29">
        <v>1.1499999999999999</v>
      </c>
      <c r="AA29">
        <v>1.1100000000000001</v>
      </c>
    </row>
    <row r="30" spans="1:27">
      <c r="A30" s="16" t="s">
        <v>68</v>
      </c>
      <c r="B30">
        <v>278</v>
      </c>
      <c r="C30">
        <v>0.9</v>
      </c>
      <c r="D30" s="16" t="s">
        <v>165</v>
      </c>
      <c r="E30">
        <v>824246604</v>
      </c>
      <c r="F30">
        <v>22.13</v>
      </c>
      <c r="H30" s="16" t="s">
        <v>165</v>
      </c>
      <c r="I30">
        <v>7907</v>
      </c>
      <c r="J30">
        <v>30.51</v>
      </c>
      <c r="M30" s="16" t="s">
        <v>165</v>
      </c>
      <c r="N30">
        <v>23.55</v>
      </c>
      <c r="O30">
        <v>28</v>
      </c>
      <c r="S30" s="16" t="s">
        <v>165</v>
      </c>
      <c r="T30">
        <v>22.13</v>
      </c>
      <c r="U30">
        <v>23.55</v>
      </c>
      <c r="V30">
        <v>824246604</v>
      </c>
      <c r="W30">
        <v>28</v>
      </c>
      <c r="X30">
        <v>7907</v>
      </c>
      <c r="Y30">
        <v>7800.5</v>
      </c>
      <c r="Z30">
        <v>30.51</v>
      </c>
      <c r="AA30">
        <v>25.81</v>
      </c>
    </row>
    <row r="31" spans="1:27">
      <c r="A31" s="16" t="s">
        <v>9</v>
      </c>
      <c r="B31">
        <v>3261.8</v>
      </c>
      <c r="C31">
        <v>1.1100000000000001</v>
      </c>
    </row>
    <row r="32" spans="1:27">
      <c r="A32" s="16" t="s">
        <v>165</v>
      </c>
      <c r="B32">
        <v>7800.5</v>
      </c>
      <c r="C32">
        <v>25.81</v>
      </c>
    </row>
  </sheetData>
  <pageMargins left="0.7" right="0.7" top="0.75" bottom="0.75" header="0.3" footer="0.3"/>
  <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C2093-2147-406F-9CA4-3AFC4F1BF545}">
  <sheetPr codeName="Sheet13"/>
  <dimension ref="A1"/>
  <sheetViews>
    <sheetView topLeftCell="A4" zoomScale="96" zoomScaleNormal="96" workbookViewId="0">
      <selection activeCell="M12" sqref="M12"/>
    </sheetView>
  </sheetViews>
  <sheetFormatPr defaultRowHeight="12.75"/>
  <sheetData/>
  <pageMargins left="0.7" right="0.7" top="0.75" bottom="0.75" header="0.3" footer="0.3"/>
  <drawing r:id="rId1"/>
  <legacyDrawing r:id="rId2"/>
  <controls>
    <mc:AlternateContent xmlns:mc="http://schemas.openxmlformats.org/markup-compatibility/2006">
      <mc:Choice Requires="x14">
        <control shapeId="13313" r:id="rId3" name="CommandButton1">
          <controlPr defaultSize="0" autoLine="0" r:id="rId4">
            <anchor moveWithCells="1">
              <from>
                <xdr:col>17</xdr:col>
                <xdr:colOff>47625</xdr:colOff>
                <xdr:row>10</xdr:row>
                <xdr:rowOff>47625</xdr:rowOff>
              </from>
              <to>
                <xdr:col>21</xdr:col>
                <xdr:colOff>9525</xdr:colOff>
                <xdr:row>16</xdr:row>
                <xdr:rowOff>9525</xdr:rowOff>
              </to>
            </anchor>
          </controlPr>
        </control>
      </mc:Choice>
      <mc:Fallback>
        <control shapeId="13313" r:id="rId3" name="CommandButton1"/>
      </mc:Fallback>
    </mc:AlternateContent>
  </controls>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554F5-7E11-4E14-AF57-47C6B70EE71D}">
  <sheetPr codeName="Sheet14"/>
  <dimension ref="J12"/>
  <sheetViews>
    <sheetView tabSelected="1" workbookViewId="0">
      <selection activeCell="J12" sqref="J12"/>
    </sheetView>
  </sheetViews>
  <sheetFormatPr defaultRowHeight="12.75"/>
  <sheetData>
    <row r="12" spans="10:10">
      <c r="J12" t="s">
        <v>188</v>
      </c>
    </row>
  </sheetData>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autoPict="0" r:id="rId4">
            <anchor moveWithCells="1">
              <from>
                <xdr:col>7</xdr:col>
                <xdr:colOff>133350</xdr:colOff>
                <xdr:row>27</xdr:row>
                <xdr:rowOff>28575</xdr:rowOff>
              </from>
              <to>
                <xdr:col>12</xdr:col>
                <xdr:colOff>419100</xdr:colOff>
                <xdr:row>30</xdr:row>
                <xdr:rowOff>85725</xdr:rowOff>
              </to>
            </anchor>
          </controlPr>
        </control>
      </mc:Choice>
      <mc:Fallback>
        <control shapeId="14337" r:id="rId3" name="CommandButton1"/>
      </mc:Fallback>
    </mc:AlternateContent>
    <mc:AlternateContent xmlns:mc="http://schemas.openxmlformats.org/markup-compatibility/2006">
      <mc:Choice Requires="x14">
        <control shapeId="14338" r:id="rId5" name="CommandButton2">
          <controlPr defaultSize="0" autoLine="0" r:id="rId6">
            <anchor moveWithCells="1">
              <from>
                <xdr:col>7</xdr:col>
                <xdr:colOff>104775</xdr:colOff>
                <xdr:row>23</xdr:row>
                <xdr:rowOff>0</xdr:rowOff>
              </from>
              <to>
                <xdr:col>12</xdr:col>
                <xdr:colOff>390525</xdr:colOff>
                <xdr:row>26</xdr:row>
                <xdr:rowOff>9525</xdr:rowOff>
              </to>
            </anchor>
          </controlPr>
        </control>
      </mc:Choice>
      <mc:Fallback>
        <control shapeId="14338"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EA202-804B-466E-AB65-354854FCB3FE}">
  <sheetPr codeName="Sheet9"/>
  <dimension ref="A1:I30"/>
  <sheetViews>
    <sheetView topLeftCell="A5" workbookViewId="0">
      <selection activeCell="E7" sqref="E7"/>
    </sheetView>
  </sheetViews>
  <sheetFormatPr defaultRowHeight="12"/>
  <cols>
    <col min="1" max="1" width="12.85546875" style="45" customWidth="1"/>
    <col min="2" max="2" width="12" style="48" customWidth="1"/>
    <col min="3" max="3" width="11.7109375" style="48" customWidth="1"/>
    <col min="4" max="4" width="14.140625" style="47" customWidth="1"/>
    <col min="5" max="5" width="13.7109375" style="47" customWidth="1"/>
    <col min="6" max="6" width="12.140625" style="48" customWidth="1"/>
    <col min="7" max="7" width="12.42578125" style="45" customWidth="1"/>
    <col min="8" max="8" width="14.42578125" style="48" customWidth="1"/>
    <col min="9" max="9" width="14.5703125" style="44" customWidth="1"/>
    <col min="10" max="10" width="8.7109375" style="45" customWidth="1"/>
    <col min="11" max="16384" width="9.140625" style="45"/>
  </cols>
  <sheetData>
    <row r="1" spans="1:9" ht="51">
      <c r="A1" s="36" t="s">
        <v>163</v>
      </c>
      <c r="B1" s="40" t="s">
        <v>173</v>
      </c>
      <c r="C1" s="40" t="s">
        <v>172</v>
      </c>
      <c r="D1" s="39" t="s">
        <v>175</v>
      </c>
      <c r="E1" s="39" t="s">
        <v>174</v>
      </c>
      <c r="F1" s="41" t="s">
        <v>176</v>
      </c>
      <c r="G1" s="40" t="s">
        <v>177</v>
      </c>
      <c r="H1" s="39" t="s">
        <v>179</v>
      </c>
      <c r="I1" s="43" t="s">
        <v>178</v>
      </c>
    </row>
    <row r="2" spans="1:9" ht="12.75">
      <c r="A2" s="7" t="s">
        <v>9</v>
      </c>
      <c r="B2" s="37">
        <v>3089.8</v>
      </c>
      <c r="C2" s="37">
        <v>3261.8</v>
      </c>
      <c r="D2" s="42">
        <v>1.1499999999999999</v>
      </c>
      <c r="E2" s="42">
        <v>1.1100000000000001</v>
      </c>
      <c r="F2" s="38">
        <v>281312446</v>
      </c>
      <c r="G2" s="8">
        <v>299267114</v>
      </c>
      <c r="H2" s="42">
        <v>1.26</v>
      </c>
      <c r="I2" s="40">
        <v>1.21</v>
      </c>
    </row>
    <row r="3" spans="1:9" ht="12.75">
      <c r="A3" s="7" t="s">
        <v>107</v>
      </c>
      <c r="B3" s="11">
        <v>282</v>
      </c>
      <c r="C3" s="11">
        <v>278</v>
      </c>
      <c r="D3" s="42">
        <v>1.0900000000000001</v>
      </c>
      <c r="E3" s="42">
        <v>0.9</v>
      </c>
      <c r="F3" s="38">
        <v>4647062</v>
      </c>
      <c r="G3" s="8">
        <v>5599733</v>
      </c>
      <c r="H3" s="42">
        <v>0.8</v>
      </c>
      <c r="I3" s="40">
        <v>3.52</v>
      </c>
    </row>
    <row r="4" spans="1:9" ht="12.75">
      <c r="A4" s="7" t="s">
        <v>12</v>
      </c>
      <c r="B4" s="11">
        <v>138</v>
      </c>
      <c r="C4" s="11">
        <v>155.1</v>
      </c>
      <c r="D4" s="42">
        <v>2.13</v>
      </c>
      <c r="E4" s="42">
        <v>1.88</v>
      </c>
      <c r="F4" s="38">
        <v>27409000</v>
      </c>
      <c r="G4" s="8">
        <v>31989000</v>
      </c>
      <c r="H4" s="42">
        <v>1.07</v>
      </c>
      <c r="I4" s="40">
        <v>0.91</v>
      </c>
    </row>
    <row r="5" spans="1:9" ht="12.75">
      <c r="A5" s="7" t="s">
        <v>15</v>
      </c>
      <c r="B5" s="11">
        <v>26.9</v>
      </c>
      <c r="C5" s="11">
        <v>30.4</v>
      </c>
      <c r="D5" s="42">
        <v>1.18</v>
      </c>
      <c r="E5" s="42">
        <v>1.1599999999999999</v>
      </c>
      <c r="F5" s="38">
        <v>3514782</v>
      </c>
      <c r="G5" s="8">
        <v>4403000</v>
      </c>
      <c r="H5" s="42">
        <v>0.9</v>
      </c>
      <c r="I5" s="40">
        <v>0.8</v>
      </c>
    </row>
    <row r="6" spans="1:9" ht="12.75">
      <c r="A6" s="7" t="s">
        <v>16</v>
      </c>
      <c r="B6" s="11">
        <v>282</v>
      </c>
      <c r="C6" s="11">
        <v>278</v>
      </c>
      <c r="D6" s="42">
        <v>1.0900000000000001</v>
      </c>
      <c r="E6" s="42">
        <v>0.9</v>
      </c>
      <c r="F6" s="38">
        <v>1549158</v>
      </c>
      <c r="G6" s="8">
        <v>1719065</v>
      </c>
      <c r="H6" s="42">
        <v>1.54</v>
      </c>
      <c r="I6" s="40">
        <v>1.08</v>
      </c>
    </row>
    <row r="7" spans="1:9" ht="12.75">
      <c r="A7" s="7" t="s">
        <v>19</v>
      </c>
      <c r="B7" s="11">
        <v>185.4</v>
      </c>
      <c r="C7" s="11">
        <v>204.8</v>
      </c>
      <c r="D7" s="42">
        <v>2.4900000000000002</v>
      </c>
      <c r="E7" s="42">
        <v>1.64</v>
      </c>
      <c r="F7" s="38">
        <v>23853034</v>
      </c>
      <c r="G7" s="8">
        <v>26990456</v>
      </c>
      <c r="H7" s="42">
        <v>1.94</v>
      </c>
      <c r="I7" s="40">
        <v>1.24</v>
      </c>
    </row>
    <row r="8" spans="1:9" ht="12.75">
      <c r="A8" s="7" t="s">
        <v>22</v>
      </c>
      <c r="B8" s="11">
        <v>282</v>
      </c>
      <c r="C8" s="11">
        <v>278</v>
      </c>
      <c r="D8" s="42">
        <v>1.0900000000000001</v>
      </c>
      <c r="E8" s="42">
        <v>0.9</v>
      </c>
      <c r="F8" s="38">
        <v>9518000</v>
      </c>
      <c r="G8" s="8">
        <v>9822000</v>
      </c>
      <c r="H8" s="42">
        <v>0.83</v>
      </c>
      <c r="I8" s="40">
        <v>0.7</v>
      </c>
    </row>
    <row r="9" spans="1:9" ht="12.75">
      <c r="A9" s="7" t="s">
        <v>25</v>
      </c>
      <c r="B9" s="11">
        <v>282</v>
      </c>
      <c r="C9" s="11">
        <v>29.3</v>
      </c>
      <c r="D9" s="42">
        <v>1.0900000000000001</v>
      </c>
      <c r="E9" s="42">
        <v>2.0499999999999998</v>
      </c>
      <c r="F9" s="38">
        <v>3886000</v>
      </c>
      <c r="G9" s="8">
        <v>4625398</v>
      </c>
      <c r="H9" s="42">
        <v>1.67</v>
      </c>
      <c r="I9" s="40">
        <v>1.3</v>
      </c>
    </row>
    <row r="10" spans="1:9" ht="12.75">
      <c r="A10" s="7" t="s">
        <v>29</v>
      </c>
      <c r="B10" s="11">
        <v>31.7</v>
      </c>
      <c r="C10" s="11">
        <v>35.700000000000003</v>
      </c>
      <c r="D10" s="42">
        <v>2.3199999999999998</v>
      </c>
      <c r="E10" s="42">
        <v>1.73</v>
      </c>
      <c r="F10" s="38">
        <v>6499000</v>
      </c>
      <c r="G10" s="8">
        <v>7643000</v>
      </c>
      <c r="H10" s="42">
        <v>1.1299999999999999</v>
      </c>
      <c r="I10" s="40">
        <v>0.81</v>
      </c>
    </row>
    <row r="11" spans="1:9" ht="12.75">
      <c r="A11" s="7" t="s">
        <v>32</v>
      </c>
      <c r="B11" s="11">
        <v>62.3</v>
      </c>
      <c r="C11" s="11">
        <v>279</v>
      </c>
      <c r="D11" s="42">
        <v>1.22</v>
      </c>
      <c r="E11" s="42">
        <v>0.9</v>
      </c>
      <c r="F11" s="38">
        <v>7175062</v>
      </c>
      <c r="G11" s="8">
        <v>7614082</v>
      </c>
      <c r="H11" s="42">
        <v>1.06</v>
      </c>
      <c r="I11" s="40">
        <v>0.85</v>
      </c>
    </row>
    <row r="12" spans="1:9" ht="12.75">
      <c r="A12" s="7" t="s">
        <v>35</v>
      </c>
      <c r="B12" s="11">
        <v>282</v>
      </c>
      <c r="C12" s="11">
        <v>279</v>
      </c>
      <c r="D12" s="42">
        <v>1.0900000000000001</v>
      </c>
      <c r="E12" s="42">
        <v>0.9</v>
      </c>
      <c r="F12" s="38">
        <v>51910493</v>
      </c>
      <c r="G12" s="8">
        <v>55026299</v>
      </c>
      <c r="H12" s="42">
        <v>0.66</v>
      </c>
      <c r="I12" s="40">
        <v>0.57999999999999996</v>
      </c>
    </row>
    <row r="13" spans="1:9" ht="12.75">
      <c r="A13" s="7" t="s">
        <v>38</v>
      </c>
      <c r="B13" s="11">
        <v>375.2</v>
      </c>
      <c r="C13" s="11">
        <v>382.4</v>
      </c>
      <c r="D13" s="42">
        <v>0.92</v>
      </c>
      <c r="E13" s="42">
        <v>0.85</v>
      </c>
      <c r="F13" s="38">
        <v>46493161</v>
      </c>
      <c r="G13" s="8">
        <v>48298911</v>
      </c>
      <c r="H13" s="42">
        <v>0.74</v>
      </c>
      <c r="I13" s="40">
        <v>0.67</v>
      </c>
    </row>
    <row r="14" spans="1:9" ht="12.75">
      <c r="A14" s="7" t="s">
        <v>121</v>
      </c>
      <c r="B14" s="11">
        <v>282</v>
      </c>
      <c r="C14" s="11">
        <v>14</v>
      </c>
      <c r="D14" s="42">
        <v>1.0900000000000001</v>
      </c>
      <c r="E14" s="42">
        <v>0.73</v>
      </c>
      <c r="F14" s="38">
        <v>1372751</v>
      </c>
      <c r="G14" s="8">
        <v>1515329</v>
      </c>
      <c r="H14" s="42">
        <v>0.87</v>
      </c>
      <c r="I14" s="40">
        <v>0.67</v>
      </c>
    </row>
    <row r="15" spans="1:9" ht="12.75">
      <c r="A15" s="7" t="s">
        <v>43</v>
      </c>
      <c r="B15" s="11">
        <v>47.9</v>
      </c>
      <c r="C15" s="11">
        <v>52.8</v>
      </c>
      <c r="D15" s="42">
        <v>1</v>
      </c>
      <c r="E15" s="42">
        <v>0.79</v>
      </c>
      <c r="F15" s="38">
        <v>6466166</v>
      </c>
      <c r="G15" s="8">
        <v>6895596</v>
      </c>
      <c r="H15" s="42">
        <v>0.74</v>
      </c>
      <c r="I15" s="40">
        <v>0.6</v>
      </c>
    </row>
    <row r="16" spans="1:9" ht="12.75">
      <c r="A16" s="7" t="s">
        <v>45</v>
      </c>
      <c r="B16" s="11">
        <v>227.3</v>
      </c>
      <c r="C16" s="11">
        <v>248.3</v>
      </c>
      <c r="D16" s="42">
        <v>0.83</v>
      </c>
      <c r="E16" s="42">
        <v>0.71</v>
      </c>
      <c r="F16" s="38">
        <v>23923806</v>
      </c>
      <c r="G16" s="8">
        <v>25422635</v>
      </c>
      <c r="H16" s="42">
        <v>0.79</v>
      </c>
      <c r="I16" s="40">
        <v>0.69</v>
      </c>
    </row>
    <row r="17" spans="1:9" ht="12.75">
      <c r="A17" s="7" t="s">
        <v>48</v>
      </c>
      <c r="B17" s="11">
        <v>154.4</v>
      </c>
      <c r="C17" s="11">
        <v>162.80000000000001</v>
      </c>
      <c r="D17" s="42">
        <v>0.78</v>
      </c>
      <c r="E17" s="42">
        <v>0.73</v>
      </c>
      <c r="F17" s="38">
        <v>18007767</v>
      </c>
      <c r="G17" s="8">
        <v>19505241</v>
      </c>
      <c r="H17" s="42">
        <v>0.67</v>
      </c>
      <c r="I17" s="40">
        <v>0.61</v>
      </c>
    </row>
    <row r="18" spans="1:9" ht="12.75">
      <c r="A18" s="7" t="s">
        <v>51</v>
      </c>
      <c r="B18" s="11">
        <v>34.1</v>
      </c>
      <c r="C18" s="11">
        <v>39.299999999999997</v>
      </c>
      <c r="D18" s="42">
        <v>1.05</v>
      </c>
      <c r="E18" s="42">
        <v>0.9</v>
      </c>
      <c r="F18" s="38">
        <v>3091636</v>
      </c>
      <c r="G18" s="8">
        <v>3600693</v>
      </c>
      <c r="H18" s="42">
        <v>1.1499999999999999</v>
      </c>
      <c r="I18" s="40">
        <v>0.99</v>
      </c>
    </row>
    <row r="19" spans="1:9" ht="12.75">
      <c r="A19" s="7" t="s">
        <v>53</v>
      </c>
      <c r="B19" s="11">
        <v>80.5</v>
      </c>
      <c r="C19" s="11">
        <v>85.5</v>
      </c>
      <c r="D19" s="42">
        <v>0.77</v>
      </c>
      <c r="E19" s="42">
        <v>0.77</v>
      </c>
      <c r="F19" s="38">
        <v>10775799</v>
      </c>
      <c r="G19" s="8">
        <v>11553132</v>
      </c>
      <c r="H19" s="42">
        <v>0.57999999999999996</v>
      </c>
      <c r="I19" s="40">
        <v>0.56999999999999995</v>
      </c>
    </row>
    <row r="20" spans="1:9" ht="12.75">
      <c r="A20" s="7" t="s">
        <v>130</v>
      </c>
      <c r="B20" s="11">
        <v>282</v>
      </c>
      <c r="C20" s="11">
        <v>31.3</v>
      </c>
      <c r="D20" s="42">
        <v>1.0900000000000001</v>
      </c>
      <c r="E20" s="42">
        <v>0.67</v>
      </c>
      <c r="F20" s="38">
        <v>4429000</v>
      </c>
      <c r="G20" s="8">
        <v>4878000</v>
      </c>
      <c r="H20" s="42">
        <v>0.61</v>
      </c>
      <c r="I20" s="40">
        <v>0.43</v>
      </c>
    </row>
    <row r="21" spans="1:9" ht="12.75">
      <c r="A21" s="7" t="s">
        <v>57</v>
      </c>
      <c r="B21" s="11">
        <v>282</v>
      </c>
      <c r="C21" s="11">
        <v>278</v>
      </c>
      <c r="D21" s="42">
        <v>1.0900000000000001</v>
      </c>
      <c r="E21" s="42">
        <v>0.9</v>
      </c>
      <c r="F21" s="38">
        <v>33412894</v>
      </c>
      <c r="G21" s="8">
        <v>36343283</v>
      </c>
      <c r="H21" s="42">
        <v>0.51</v>
      </c>
      <c r="I21" s="40">
        <v>0.48</v>
      </c>
    </row>
    <row r="22" spans="1:9" ht="12.75">
      <c r="A22" s="7" t="s">
        <v>133</v>
      </c>
      <c r="B22" s="11">
        <v>282</v>
      </c>
      <c r="C22" s="11">
        <v>469.1</v>
      </c>
      <c r="D22" s="42">
        <v>1.0900000000000001</v>
      </c>
      <c r="E22" s="42">
        <v>0.65</v>
      </c>
      <c r="F22" s="38">
        <v>53716000</v>
      </c>
      <c r="G22" s="8">
        <v>57305201</v>
      </c>
      <c r="H22" s="42">
        <v>0.64</v>
      </c>
      <c r="I22" s="40">
        <v>0.53</v>
      </c>
    </row>
    <row r="23" spans="1:9" ht="12.75">
      <c r="A23" s="7" t="s">
        <v>61</v>
      </c>
      <c r="B23" s="11">
        <v>32.4</v>
      </c>
      <c r="C23" s="11">
        <v>34.200000000000003</v>
      </c>
      <c r="D23" s="42">
        <v>0.55000000000000004</v>
      </c>
      <c r="E23" s="42">
        <v>0.57999999999999996</v>
      </c>
      <c r="F23" s="11" t="s">
        <v>135</v>
      </c>
      <c r="G23" s="8">
        <v>3290000</v>
      </c>
      <c r="H23" s="42">
        <v>0.59</v>
      </c>
      <c r="I23" s="40">
        <v>0.6</v>
      </c>
    </row>
    <row r="24" spans="1:9" ht="12.75">
      <c r="A24" s="7" t="s">
        <v>62</v>
      </c>
      <c r="B24" s="11">
        <v>454.2</v>
      </c>
      <c r="C24" s="11">
        <v>462.7</v>
      </c>
      <c r="D24" s="42">
        <v>1.08</v>
      </c>
      <c r="E24" s="42">
        <v>0.85</v>
      </c>
      <c r="F24" s="38">
        <v>91315870</v>
      </c>
      <c r="G24" s="8">
        <v>91457940</v>
      </c>
      <c r="H24" s="42">
        <v>0.53</v>
      </c>
      <c r="I24" s="40">
        <v>0.43</v>
      </c>
    </row>
    <row r="25" spans="1:9" ht="12.75">
      <c r="A25" s="7" t="s">
        <v>65</v>
      </c>
      <c r="B25" s="11">
        <v>28.6</v>
      </c>
      <c r="C25" s="11">
        <v>29.2</v>
      </c>
      <c r="D25" s="42">
        <v>0.56999999999999995</v>
      </c>
      <c r="E25" s="42">
        <v>0.48</v>
      </c>
      <c r="F25" s="38">
        <v>2570294</v>
      </c>
      <c r="G25" s="8">
        <v>2805839</v>
      </c>
      <c r="H25" s="42">
        <v>0.63</v>
      </c>
      <c r="I25" s="40">
        <v>0.5</v>
      </c>
    </row>
    <row r="26" spans="1:9" ht="12.75">
      <c r="A26" s="7" t="s">
        <v>68</v>
      </c>
      <c r="B26" s="11">
        <v>282</v>
      </c>
      <c r="C26" s="11">
        <v>278</v>
      </c>
      <c r="D26" s="42">
        <v>1.0900000000000001</v>
      </c>
      <c r="E26" s="42">
        <v>0.9</v>
      </c>
      <c r="F26" s="38">
        <v>37570487</v>
      </c>
      <c r="G26" s="8">
        <v>39890719</v>
      </c>
      <c r="H26" s="42">
        <v>0.48</v>
      </c>
      <c r="I26" s="40">
        <v>0.45</v>
      </c>
    </row>
    <row r="27" spans="1:9" ht="12.75">
      <c r="A27" s="7" t="s">
        <v>70</v>
      </c>
      <c r="B27" s="11">
        <v>40.6</v>
      </c>
      <c r="C27" s="11">
        <v>43.1</v>
      </c>
      <c r="D27" s="42">
        <v>0.62</v>
      </c>
      <c r="E27" s="42">
        <v>0.43</v>
      </c>
      <c r="F27" s="38">
        <v>6046934</v>
      </c>
      <c r="G27" s="8">
        <v>6371545</v>
      </c>
      <c r="H27" s="42">
        <v>0.42</v>
      </c>
      <c r="I27" s="40">
        <v>0.28999999999999998</v>
      </c>
    </row>
    <row r="28" spans="1:9" ht="12.75">
      <c r="A28" s="7" t="s">
        <v>73</v>
      </c>
      <c r="B28" s="11">
        <v>50.2</v>
      </c>
      <c r="C28" s="11">
        <v>52</v>
      </c>
      <c r="D28" s="42">
        <v>0.52</v>
      </c>
      <c r="E28" s="42">
        <v>0.42</v>
      </c>
      <c r="F28" s="11" t="s">
        <v>143</v>
      </c>
      <c r="G28" s="8">
        <v>6363944</v>
      </c>
      <c r="H28" s="42">
        <v>0.43</v>
      </c>
      <c r="I28" s="40">
        <v>0.35</v>
      </c>
    </row>
    <row r="29" spans="1:9" ht="12.75">
      <c r="A29" s="7" t="s">
        <v>76</v>
      </c>
      <c r="B29" s="11">
        <v>27.5</v>
      </c>
      <c r="C29" s="11">
        <v>28.7</v>
      </c>
      <c r="D29" s="42">
        <v>0.43</v>
      </c>
      <c r="E29" s="42">
        <v>0.38</v>
      </c>
      <c r="F29" s="38">
        <v>3812144</v>
      </c>
      <c r="G29" s="8">
        <v>4049449</v>
      </c>
      <c r="H29" s="42">
        <v>0.31</v>
      </c>
      <c r="I29" s="40">
        <v>0.27</v>
      </c>
    </row>
    <row r="30" spans="1:9">
      <c r="B30" s="46"/>
      <c r="C30" s="46"/>
    </row>
  </sheetData>
  <phoneticPr fontId="20"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Deaths</vt:lpstr>
      <vt:lpstr>Sheet1</vt:lpstr>
      <vt:lpstr>PIVOT FOR DEATHS</vt:lpstr>
      <vt:lpstr>DASHBOARD</vt:lpstr>
      <vt:lpstr>Raw data</vt:lpstr>
      <vt:lpstr>Rates</vt:lpstr>
      <vt:lpstr>Sheet5</vt:lpstr>
      <vt:lpstr>DASHBOARD FOR RATES</vt:lpstr>
      <vt:lpstr>HOME PAGE</vt:lpstr>
      <vt:lpstr>Raw data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CHIEMELA</dc:creator>
  <cp:lastModifiedBy>CHIEMELA</cp:lastModifiedBy>
  <dcterms:created xsi:type="dcterms:W3CDTF">2023-03-25T07:29:07Z</dcterms:created>
  <dcterms:modified xsi:type="dcterms:W3CDTF">2023-03-25T19:34:50Z</dcterms:modified>
</cp:coreProperties>
</file>